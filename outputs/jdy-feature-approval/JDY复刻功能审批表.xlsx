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inzhenyue/Projects/JDY 推理补完/outputs/jdy-feature-approval/"/>
    </mc:Choice>
  </mc:AlternateContent>
  <xr:revisionPtr revIDLastSave="0" documentId="13_ncr:1_{B3719B49-7FDA-994A-A3B5-EC94F85C8C83}" xr6:coauthVersionLast="47" xr6:coauthVersionMax="47" xr10:uidLastSave="{00000000-0000-0000-0000-000000000000}"/>
  <bookViews>
    <workbookView xWindow="0" yWindow="600" windowWidth="38400" windowHeight="19520" xr2:uid="{00000000-000D-0000-FFFF-FFFF00000000}"/>
  </bookViews>
  <sheets>
    <sheet name="功能审批" sheetId="1" r:id="rId1"/>
    <sheet name="填写说明" sheetId="2" r:id="rId2"/>
    <sheet name="审批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7" i="3"/>
  <c r="B6" i="3"/>
  <c r="B5" i="3"/>
  <c r="B4" i="3"/>
  <c r="B8" i="3" l="1"/>
</calcChain>
</file>

<file path=xl/sharedStrings.xml><?xml version="1.0" encoding="utf-8"?>
<sst xmlns="http://schemas.openxmlformats.org/spreadsheetml/2006/main" count="970" uniqueCount="356">
  <si>
    <t>模块</t>
  </si>
  <si>
    <t>功能</t>
  </si>
  <si>
    <t>功能说明</t>
  </si>
  <si>
    <t>我的建议</t>
  </si>
  <si>
    <t>你的审批</t>
  </si>
  <si>
    <t>优先级</t>
  </si>
  <si>
    <t>建议版本</t>
  </si>
  <si>
    <t>备注</t>
  </si>
  <si>
    <t>推理补完方式</t>
  </si>
  <si>
    <t>全局框架</t>
  </si>
  <si>
    <t>首页工作台</t>
  </si>
  <si>
    <t>待办、经营卡片、快捷入口、预警</t>
  </si>
  <si>
    <t>简单版</t>
  </si>
  <si>
    <t>P1</t>
  </si>
  <si>
    <t>第一版</t>
  </si>
  <si>
    <t>先做常用入口和待办壳层，经营分析后置</t>
  </si>
  <si>
    <t>按已采证据实现；缺口用可验证推理补完</t>
  </si>
  <si>
    <t>左侧模块导航</t>
  </si>
  <si>
    <t>销售、采购、库存、生产等菜单</t>
  </si>
  <si>
    <t>要</t>
  </si>
  <si>
    <t>P0</t>
  </si>
  <si>
    <t>ERP 主入口</t>
  </si>
  <si>
    <t>多页签工作区</t>
  </si>
  <si>
    <t>像金蝶一样打开多个业务页</t>
  </si>
  <si>
    <t>提升多单据切换效率</t>
  </si>
  <si>
    <t>全局搜索</t>
  </si>
  <si>
    <t>搜单据、客户、商品、功能入口</t>
  </si>
  <si>
    <t>可选</t>
  </si>
  <si>
    <t>P2</t>
  </si>
  <si>
    <t>第二版</t>
  </si>
  <si>
    <t>可先做功能入口搜索</t>
  </si>
  <si>
    <t>先保留入口或暂不实现，待审批后再展开</t>
  </si>
  <si>
    <t>消息/待办中心</t>
  </si>
  <si>
    <t>审批、预警、系统消息</t>
  </si>
  <si>
    <t>后面再说</t>
  </si>
  <si>
    <t>跟工作流一起完善</t>
  </si>
  <si>
    <t>操作日志</t>
  </si>
  <si>
    <t>记录用户、时间、动作、对象</t>
  </si>
  <si>
    <t>审计和追责基础</t>
  </si>
  <si>
    <t>附件中心</t>
  </si>
  <si>
    <t>单据上传图片、PDF、合同</t>
  </si>
  <si>
    <t>看现场是否常用</t>
  </si>
  <si>
    <t>导入/导出</t>
  </si>
  <si>
    <t>Excel 导入、导出列表</t>
  </si>
  <si>
    <t>基础资料和列表必须具备</t>
  </si>
  <si>
    <t>打印/套打</t>
  </si>
  <si>
    <t>单据打印模板</t>
  </si>
  <si>
    <t>先做固定模板，设计器后置</t>
  </si>
  <si>
    <t>基础资料</t>
  </si>
  <si>
    <t>商品资料</t>
  </si>
  <si>
    <t>物料、成品、半成品、单位、规格</t>
  </si>
  <si>
    <t>所有链路基础</t>
  </si>
  <si>
    <t>BOM</t>
  </si>
  <si>
    <t>成品和子件关系、版本、审核</t>
  </si>
  <si>
    <t>生产与缺料分析核心</t>
  </si>
  <si>
    <t>客户资料</t>
  </si>
  <si>
    <t>客户、联系人、结算信息</t>
  </si>
  <si>
    <t>销售基础</t>
  </si>
  <si>
    <t>供应商资料</t>
  </si>
  <si>
    <t>供应商、联系人、采购结算</t>
  </si>
  <si>
    <t>采购基础</t>
  </si>
  <si>
    <t>仓库资料</t>
  </si>
  <si>
    <t>仓库、仓位、是否允许负库存</t>
  </si>
  <si>
    <t>库存基础</t>
  </si>
  <si>
    <t>部门/车间</t>
  </si>
  <si>
    <t>生产车间、业务部门</t>
  </si>
  <si>
    <t>生产任务必需</t>
  </si>
  <si>
    <t>员工/用户</t>
  </si>
  <si>
    <t>登录账号、员工、角色</t>
  </si>
  <si>
    <t>权限基础</t>
  </si>
  <si>
    <t>账户资料</t>
  </si>
  <si>
    <t>现金、银行、存款账户</t>
  </si>
  <si>
    <t>收付款基础</t>
  </si>
  <si>
    <t>计量单位</t>
  </si>
  <si>
    <t>PCS、套、件等</t>
  </si>
  <si>
    <t>商品基础</t>
  </si>
  <si>
    <t>商品品牌/标签/辅助属性</t>
  </si>
  <si>
    <t>更细的商品分类和属性</t>
  </si>
  <si>
    <t>如无复杂属性可不做</t>
  </si>
  <si>
    <t>价格资料</t>
  </si>
  <si>
    <t>客户价格、采购价格、价格等级</t>
  </si>
  <si>
    <t>报价/价格管控时再做</t>
  </si>
  <si>
    <t>销售管理</t>
  </si>
  <si>
    <t>销售报价单</t>
  </si>
  <si>
    <t>给客户报价</t>
  </si>
  <si>
    <t>若销售直接下订单可不做</t>
  </si>
  <si>
    <t>销售订单</t>
  </si>
  <si>
    <t>接单、跟踪执行</t>
  </si>
  <si>
    <t>销售主链路</t>
  </si>
  <si>
    <t>销售出库单</t>
  </si>
  <si>
    <t>发货扣库存</t>
  </si>
  <si>
    <t>库存影响关键</t>
  </si>
  <si>
    <t>销售退货单</t>
  </si>
  <si>
    <t>客户退货入库</t>
  </si>
  <si>
    <t>逆向链路</t>
  </si>
  <si>
    <t>销售换货</t>
  </si>
  <si>
    <t>换货流程</t>
  </si>
  <si>
    <t>可由退货+出库替代</t>
  </si>
  <si>
    <t>销售收款</t>
  </si>
  <si>
    <t>出库后收款</t>
  </si>
  <si>
    <t>应收闭环</t>
  </si>
  <si>
    <t>销售退款</t>
  </si>
  <si>
    <t>退货后退款</t>
  </si>
  <si>
    <t>逆向资金</t>
  </si>
  <si>
    <t>销售税票</t>
  </si>
  <si>
    <t>开票登记</t>
  </si>
  <si>
    <t>财务票据增强</t>
  </si>
  <si>
    <t>销售报表</t>
  </si>
  <si>
    <t>销售明细、汇总、排行、利润</t>
  </si>
  <si>
    <t>先做明细/汇总/订单跟踪</t>
  </si>
  <si>
    <t>委托代销</t>
  </si>
  <si>
    <t>代销业务</t>
  </si>
  <si>
    <t>没有代销则不做</t>
  </si>
  <si>
    <t>采购管理</t>
  </si>
  <si>
    <t>采购申请</t>
  </si>
  <si>
    <t>内部申请采购</t>
  </si>
  <si>
    <t>小团队可先跳过</t>
  </si>
  <si>
    <t>采购计划</t>
  </si>
  <si>
    <t>计划采购</t>
  </si>
  <si>
    <t>可由缺料建议替代</t>
  </si>
  <si>
    <t>采购订单</t>
  </si>
  <si>
    <t>向供应商下单</t>
  </si>
  <si>
    <t>采购主链路</t>
  </si>
  <si>
    <t>采购入库单</t>
  </si>
  <si>
    <t>到货入库</t>
  </si>
  <si>
    <t>采购退货单</t>
  </si>
  <si>
    <t>退货给供应商</t>
  </si>
  <si>
    <t>采购付款</t>
  </si>
  <si>
    <t>入库后付款</t>
  </si>
  <si>
    <t>应付闭环</t>
  </si>
  <si>
    <t>采购退款</t>
  </si>
  <si>
    <t>采购税票</t>
  </si>
  <si>
    <t>进项票登记</t>
  </si>
  <si>
    <t>智能补货/以销定购</t>
  </si>
  <si>
    <t>自动建议采购</t>
  </si>
  <si>
    <t>与 MRP/缺料分析合并考虑</t>
  </si>
  <si>
    <t>采购报表</t>
  </si>
  <si>
    <t>采购明细、汇总、跟踪</t>
  </si>
  <si>
    <t>先做明细/汇总</t>
  </si>
  <si>
    <t>库存管理</t>
  </si>
  <si>
    <t>库存查询</t>
  </si>
  <si>
    <t>即时库存、可用库存</t>
  </si>
  <si>
    <t>日常高频</t>
  </si>
  <si>
    <t>商品收发明细</t>
  </si>
  <si>
    <t>每笔入出库流水</t>
  </si>
  <si>
    <t>库存可追溯</t>
  </si>
  <si>
    <t>其他入库</t>
  </si>
  <si>
    <t>非采购/生产入库</t>
  </si>
  <si>
    <t>调整库存必需</t>
  </si>
  <si>
    <t>其他出库</t>
  </si>
  <si>
    <t>非销售/生产出库</t>
  </si>
  <si>
    <t>调拨单</t>
  </si>
  <si>
    <t>仓库之间调货</t>
  </si>
  <si>
    <t>看是否多仓</t>
  </si>
  <si>
    <t>多仓库时要</t>
  </si>
  <si>
    <t>移仓单</t>
  </si>
  <si>
    <t>同仓不同仓位移动</t>
  </si>
  <si>
    <t>启用仓位后再做</t>
  </si>
  <si>
    <t>盘点任务/盘点单</t>
  </si>
  <si>
    <t>库存盘点、盘盈盘亏</t>
  </si>
  <si>
    <t>库存修正必需</t>
  </si>
  <si>
    <t>盘盈单/盘亏单</t>
  </si>
  <si>
    <t>盘点差异调整</t>
  </si>
  <si>
    <t>盘点配套</t>
  </si>
  <si>
    <t>预留单</t>
  </si>
  <si>
    <t>锁定库存给订单</t>
  </si>
  <si>
    <t>库存紧张时有价值</t>
  </si>
  <si>
    <t>组装拆卸</t>
  </si>
  <si>
    <t>简单套件拆装</t>
  </si>
  <si>
    <t>如无套件可不做</t>
  </si>
  <si>
    <t>形态转换</t>
  </si>
  <si>
    <t>物料形态转换</t>
  </si>
  <si>
    <t>特殊业务</t>
  </si>
  <si>
    <t>库存预警</t>
  </si>
  <si>
    <t>低库存提醒</t>
  </si>
  <si>
    <t>采购提醒基础</t>
  </si>
  <si>
    <t>保质期/批次/库龄</t>
  </si>
  <si>
    <t>批次、保质期、库龄分析</t>
  </si>
  <si>
    <t>看行业是否需要</t>
  </si>
  <si>
    <t>汽车零部件通常可简化</t>
  </si>
  <si>
    <t>出库成本核算</t>
  </si>
  <si>
    <t>出库成本计算</t>
  </si>
  <si>
    <t>先用移动加权或手工成本</t>
  </si>
  <si>
    <t>业务关账/期末结账</t>
  </si>
  <si>
    <t>锁定期间、防止改历史单</t>
  </si>
  <si>
    <t>第一版先谨慎</t>
  </si>
  <si>
    <t>生产管理</t>
  </si>
  <si>
    <t>生产任务单</t>
  </si>
  <si>
    <t>下达生产任务</t>
  </si>
  <si>
    <t>生产主链路</t>
  </si>
  <si>
    <t>生产领料单</t>
  </si>
  <si>
    <t>从仓库领材料</t>
  </si>
  <si>
    <t>材料出库</t>
  </si>
  <si>
    <t>生产退料单</t>
  </si>
  <si>
    <t>多领材料退回</t>
  </si>
  <si>
    <t>产品入库单</t>
  </si>
  <si>
    <t>成品完工入库</t>
  </si>
  <si>
    <t>成品入库</t>
  </si>
  <si>
    <t>产品退库单</t>
  </si>
  <si>
    <t>成品退回生产</t>
  </si>
  <si>
    <t>低频逆向</t>
  </si>
  <si>
    <t>材料报废单</t>
  </si>
  <si>
    <t>生产中材料报废</t>
  </si>
  <si>
    <t>车间损耗记录</t>
  </si>
  <si>
    <t>BOM 正向/反查</t>
  </si>
  <si>
    <t>查成品用料、子件被哪些成品用</t>
  </si>
  <si>
    <t>BOM 管理高频</t>
  </si>
  <si>
    <t>BOM 成本查询</t>
  </si>
  <si>
    <t>按 BOM 估算成本</t>
  </si>
  <si>
    <t>报价和成本参考</t>
  </si>
  <si>
    <t>BOM 批量修改</t>
  </si>
  <si>
    <t>批量替换子件</t>
  </si>
  <si>
    <t>产品多时再做</t>
  </si>
  <si>
    <t>物料需求建议/MRP</t>
  </si>
  <si>
    <t>按订单/BOM 算缺料</t>
  </si>
  <si>
    <t>后面重点做</t>
  </si>
  <si>
    <t>可先做简单缺料建议</t>
  </si>
  <si>
    <t>齐套分析</t>
  </si>
  <si>
    <t>判断材料是否够生产</t>
  </si>
  <si>
    <t>工厂实用性强</t>
  </si>
  <si>
    <t>足缺料分析</t>
  </si>
  <si>
    <t>查缺什么料</t>
  </si>
  <si>
    <t>采购和排产关键</t>
  </si>
  <si>
    <t>计划订单</t>
  </si>
  <si>
    <t>生产计划中间单</t>
  </si>
  <si>
    <t>复杂计划时再做</t>
  </si>
  <si>
    <t>生产成本核算</t>
  </si>
  <si>
    <t>人工、制造费用、材料成本分配</t>
  </si>
  <si>
    <t>第一版不强算</t>
  </si>
  <si>
    <t>班组/生产汇报</t>
  </si>
  <si>
    <t>报工、班组产量</t>
  </si>
  <si>
    <t>看现场是否报工</t>
  </si>
  <si>
    <t>当前金蝶入口不可见</t>
  </si>
  <si>
    <t>委外管理</t>
  </si>
  <si>
    <t>委外加工单</t>
  </si>
  <si>
    <t>发给外协加工</t>
  </si>
  <si>
    <t>看是否有外协</t>
  </si>
  <si>
    <t>有外协才做</t>
  </si>
  <si>
    <t>委外发料</t>
  </si>
  <si>
    <t>发材料给外协</t>
  </si>
  <si>
    <t>委外退料</t>
  </si>
  <si>
    <t>外协退料</t>
  </si>
  <si>
    <t>委外入库</t>
  </si>
  <si>
    <t>外协成品入库</t>
  </si>
  <si>
    <t>委外退货</t>
  </si>
  <si>
    <t>外协退货</t>
  </si>
  <si>
    <t>委外 BOM</t>
  </si>
  <si>
    <t>外协用 BOM</t>
  </si>
  <si>
    <t>按外协复杂度决定</t>
  </si>
  <si>
    <t>委外费用</t>
  </si>
  <si>
    <t>加工费</t>
  </si>
  <si>
    <t>有外协结算才做</t>
  </si>
  <si>
    <t>委外成本核算</t>
  </si>
  <si>
    <t>外协成本计算</t>
  </si>
  <si>
    <t>P3</t>
  </si>
  <si>
    <t>后续</t>
  </si>
  <si>
    <t>复杂成本后置</t>
  </si>
  <si>
    <t>委外报表</t>
  </si>
  <si>
    <t>委外明细、执行、材料</t>
  </si>
  <si>
    <t>应收应付/资金</t>
  </si>
  <si>
    <t>收款单</t>
  </si>
  <si>
    <t>客户收款</t>
  </si>
  <si>
    <t>销售资金闭环</t>
  </si>
  <si>
    <t>收款退款单</t>
  </si>
  <si>
    <t>客户退款</t>
  </si>
  <si>
    <t>销售逆向资金</t>
  </si>
  <si>
    <t>付款单</t>
  </si>
  <si>
    <t>供应商付款</t>
  </si>
  <si>
    <t>采购资金闭环</t>
  </si>
  <si>
    <t>付款退款单</t>
  </si>
  <si>
    <t>供应商退款</t>
  </si>
  <si>
    <t>采购逆向资金</t>
  </si>
  <si>
    <t>预收款</t>
  </si>
  <si>
    <t>客户提前付款</t>
  </si>
  <si>
    <t>看是否常用</t>
  </si>
  <si>
    <t>按现场结算习惯决定</t>
  </si>
  <si>
    <t>预付款</t>
  </si>
  <si>
    <t>给供应商预付</t>
  </si>
  <si>
    <t>其他收入/支出</t>
  </si>
  <si>
    <t>杂项收支</t>
  </si>
  <si>
    <t>简单财务记录</t>
  </si>
  <si>
    <t>资金转账</t>
  </si>
  <si>
    <t>银行/现金账户互转</t>
  </si>
  <si>
    <t>账户管理基础</t>
  </si>
  <si>
    <t>手动核销</t>
  </si>
  <si>
    <t>应收应付和收付款匹配</t>
  </si>
  <si>
    <t>先做按单核销</t>
  </si>
  <si>
    <t>自动核销</t>
  </si>
  <si>
    <t>自动匹配收付款</t>
  </si>
  <si>
    <t>算法和规则后置</t>
  </si>
  <si>
    <t>客户/供应商对账</t>
  </si>
  <si>
    <t>对账单</t>
  </si>
  <si>
    <t>日常财务对账</t>
  </si>
  <si>
    <t>应收应付报表</t>
  </si>
  <si>
    <t>汇总、明细、预警</t>
  </si>
  <si>
    <t>先做汇总和明细</t>
  </si>
  <si>
    <t>外币调汇</t>
  </si>
  <si>
    <t>外币业务</t>
  </si>
  <si>
    <t>大概率不要</t>
  </si>
  <si>
    <t>没有外币业务则不要</t>
  </si>
  <si>
    <t>系统设置</t>
  </si>
  <si>
    <t>编码规则</t>
  </si>
  <si>
    <t>单据自动编号</t>
  </si>
  <si>
    <t>各单据编号基础</t>
  </si>
  <si>
    <t>用户管理</t>
  </si>
  <si>
    <t>用户、角色、权限</t>
  </si>
  <si>
    <t>系统基础</t>
  </si>
  <si>
    <t>功能权限</t>
  </si>
  <si>
    <t>谁能看/新增/审核/删除</t>
  </si>
  <si>
    <t>字段权限</t>
  </si>
  <si>
    <t>谁能看/改某些字段</t>
  </si>
  <si>
    <t>管理细化时做</t>
  </si>
  <si>
    <t>数据权限</t>
  </si>
  <si>
    <t>只能看自己/部门/客户数据</t>
  </si>
  <si>
    <t>看管理要求</t>
  </si>
  <si>
    <t>按组织管理需求决定</t>
  </si>
  <si>
    <t>单据操作控制</t>
  </si>
  <si>
    <t>审核后能不能改、本人限制</t>
  </si>
  <si>
    <t>防误改历史单据</t>
  </si>
  <si>
    <t>审批流/工作流</t>
  </si>
  <si>
    <t>提交、审批、任务中心</t>
  </si>
  <si>
    <t>先做单级或固定流程</t>
  </si>
  <si>
    <t>自定义字段</t>
  </si>
  <si>
    <t>给商品/单据加字段</t>
  </si>
  <si>
    <t>便于适配控制臂工厂</t>
  </si>
  <si>
    <t>系统参数</t>
  </si>
  <si>
    <t>负库存、超量领料等开关</t>
  </si>
  <si>
    <t>影响业务规则</t>
  </si>
  <si>
    <t>消息预警设置</t>
  </si>
  <si>
    <t>库存、信用、交期提醒</t>
  </si>
  <si>
    <t>先做库存预警</t>
  </si>
  <si>
    <t>打印模板设计器</t>
  </si>
  <si>
    <t>可视化设计打印模板</t>
  </si>
  <si>
    <t>固定模板先够用</t>
  </si>
  <si>
    <t>网络控制/多端互联</t>
  </si>
  <si>
    <t>金蝶特色能力</t>
  </si>
  <si>
    <t>不建议做</t>
  </si>
  <si>
    <t>不建议进入复刻范围</t>
  </si>
  <si>
    <t>JDY 推理补完复刻功能审批表</t>
  </si>
  <si>
    <t>怎么填</t>
  </si>
  <si>
    <t>在「功能审批」工作表的「你的审批」列下拉选择即可。</t>
  </si>
  <si>
    <t>推荐审批值</t>
  </si>
  <si>
    <t>要、不要、简单版、后面再说。也可以沿用更细的选项。</t>
  </si>
  <si>
    <t>进入第一版或后续明确开发范围。</t>
  </si>
  <si>
    <t>做可用主流程，不追求金蝶全部边界。</t>
  </si>
  <si>
    <t>暂不挡住第一版，保留数据或入口扩展点。</t>
  </si>
  <si>
    <t>不要</t>
  </si>
  <si>
    <t>从当前复刻范围剔除。</t>
  </si>
  <si>
    <t>下一步</t>
  </si>
  <si>
    <t>你填完后，我会按审批结果生成第一版功能边界、页面清单、数据模型和开发顺序。</t>
  </si>
  <si>
    <t>审批结果汇总</t>
  </si>
  <si>
    <t>审批值</t>
  </si>
  <si>
    <t>数量</t>
  </si>
  <si>
    <t>可选/其他</t>
  </si>
  <si>
    <t>未审批</t>
  </si>
  <si>
    <t>总功能数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</si>
</sst>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4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D9E2F3"/>
      </right>
      <top style="thin">
        <color rgb="FFB4C6E7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D9E2F3"/>
      </bottom>
      <diagonal/>
    </border>
    <border>
      <left style="thin">
        <color rgb="FFD9E2F3"/>
      </left>
      <right style="thin">
        <color rgb="FFB4C6E7"/>
      </right>
      <top style="thin">
        <color rgb="FFB4C6E7"/>
      </top>
      <bottom style="thin">
        <color rgb="FFD9E2F3"/>
      </bottom>
      <diagonal/>
    </border>
    <border>
      <left style="thin">
        <color rgb="FFB4C6E7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B4C6E7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D9E2F3"/>
      </right>
      <top style="thin">
        <color rgb="FFD9E2F3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4C6E7"/>
      </bottom>
      <diagonal/>
    </border>
    <border>
      <left style="thin">
        <color rgb="FFD9E2F3"/>
      </left>
      <right style="thin">
        <color rgb="FFB4C6E7"/>
      </right>
      <top style="thin">
        <color rgb="FFD9E2F3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wrapText="1"/>
    </xf>
    <xf numFmtId="0" fontId="1" fillId="2" borderId="2" xfId="1" applyFont="1" applyFill="1" applyBorder="1" applyAlignment="1">
      <alignment wrapText="1"/>
    </xf>
    <xf numFmtId="0" fontId="1" fillId="2" borderId="3" xfId="1" applyFont="1" applyFill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0" borderId="10" xfId="1" applyFont="1" applyBorder="1" applyAlignment="1">
      <alignment wrapText="1"/>
    </xf>
    <xf numFmtId="0" fontId="0" fillId="0" borderId="11" xfId="1" applyFont="1" applyBorder="1" applyAlignment="1">
      <alignment wrapText="1"/>
    </xf>
    <xf numFmtId="0" fontId="0" fillId="0" borderId="12" xfId="1" applyFont="1" applyBorder="1" applyAlignment="1">
      <alignment wrapText="1"/>
    </xf>
    <xf numFmtId="0" fontId="0" fillId="3" borderId="6" xfId="1" applyFont="1" applyFill="1" applyBorder="1" applyAlignment="1">
      <alignment wrapText="1"/>
    </xf>
    <xf numFmtId="0" fontId="0" fillId="3" borderId="4" xfId="1" applyFont="1" applyFill="1" applyBorder="1" applyAlignment="1">
      <alignment wrapText="1"/>
    </xf>
    <xf numFmtId="0" fontId="0" fillId="3" borderId="11" xfId="1" applyFont="1" applyFill="1" applyBorder="1" applyAlignment="1">
      <alignment wrapText="1"/>
    </xf>
    <xf numFmtId="0" fontId="3" fillId="0" borderId="5" xfId="1" applyFont="1" applyBorder="1" applyAlignment="1">
      <alignment wrapText="1"/>
    </xf>
    <xf numFmtId="0" fontId="3" fillId="0" borderId="8" xfId="1" applyFont="1" applyBorder="1" applyAlignment="1">
      <alignment wrapText="1"/>
    </xf>
    <xf numFmtId="0" fontId="3" fillId="0" borderId="10" xfId="1" applyFont="1" applyBorder="1" applyAlignment="1">
      <alignment wrapText="1"/>
    </xf>
    <xf numFmtId="0" fontId="3" fillId="4" borderId="13" xfId="1" applyFont="1" applyFill="1" applyBorder="1"/>
    <xf numFmtId="0" fontId="0" fillId="0" borderId="13" xfId="1" applyFont="1" applyBorder="1"/>
    <xf numFmtId="0" fontId="2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showGridLines="0" tabSelected="1" topLeftCell="A93" workbookViewId="0">
      <selection activeCell="F109" sqref="F109"/>
    </sheetView>
  </sheetViews>
  <sheetFormatPr baseColWidth="10" defaultColWidth="8.83203125" defaultRowHeight="14"/>
  <cols>
    <col min="1" max="1" width="18" customWidth="1"/>
    <col min="2" max="2" width="24" customWidth="1"/>
    <col min="3" max="3" width="44" customWidth="1"/>
    <col min="4" max="4" width="14" customWidth="1"/>
    <col min="5" max="5" width="16" customWidth="1"/>
    <col min="6" max="6" width="10" customWidth="1"/>
    <col min="7" max="7" width="12" customWidth="1"/>
    <col min="8" max="8" width="42" customWidth="1"/>
    <col min="9" max="9" width="38" customWidth="1"/>
  </cols>
  <sheetData>
    <row r="1" spans="1:9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48" customHeight="1">
      <c r="A2" s="4" t="s">
        <v>9</v>
      </c>
      <c r="B2" s="5" t="s">
        <v>10</v>
      </c>
      <c r="C2" s="5" t="s">
        <v>11</v>
      </c>
      <c r="D2" s="5" t="s">
        <v>12</v>
      </c>
      <c r="E2" s="13" t="s">
        <v>12</v>
      </c>
      <c r="F2" s="5" t="s">
        <v>13</v>
      </c>
      <c r="G2" s="5" t="s">
        <v>14</v>
      </c>
      <c r="H2" s="5" t="s">
        <v>15</v>
      </c>
      <c r="I2" s="6" t="s">
        <v>16</v>
      </c>
    </row>
    <row r="3" spans="1:9" ht="48" customHeight="1">
      <c r="A3" s="7" t="s">
        <v>9</v>
      </c>
      <c r="B3" s="8" t="s">
        <v>17</v>
      </c>
      <c r="C3" s="8" t="s">
        <v>18</v>
      </c>
      <c r="D3" s="8" t="s">
        <v>19</v>
      </c>
      <c r="E3" s="14" t="s">
        <v>19</v>
      </c>
      <c r="F3" s="8" t="s">
        <v>20</v>
      </c>
      <c r="G3" s="8" t="s">
        <v>14</v>
      </c>
      <c r="H3" s="8" t="s">
        <v>21</v>
      </c>
      <c r="I3" s="9" t="s">
        <v>16</v>
      </c>
    </row>
    <row r="4" spans="1:9" ht="48" customHeight="1">
      <c r="A4" s="7" t="s">
        <v>9</v>
      </c>
      <c r="B4" s="8" t="s">
        <v>22</v>
      </c>
      <c r="C4" s="8" t="s">
        <v>23</v>
      </c>
      <c r="D4" s="8" t="s">
        <v>19</v>
      </c>
      <c r="E4" s="14" t="s">
        <v>19</v>
      </c>
      <c r="F4" s="8" t="s">
        <v>20</v>
      </c>
      <c r="G4" s="8" t="s">
        <v>14</v>
      </c>
      <c r="H4" s="8" t="s">
        <v>24</v>
      </c>
      <c r="I4" s="9" t="s">
        <v>16</v>
      </c>
    </row>
    <row r="5" spans="1:9" ht="48" customHeight="1">
      <c r="A5" s="7" t="s">
        <v>9</v>
      </c>
      <c r="B5" s="8" t="s">
        <v>25</v>
      </c>
      <c r="C5" s="8" t="s">
        <v>26</v>
      </c>
      <c r="D5" s="8" t="s">
        <v>27</v>
      </c>
      <c r="E5" s="14" t="s">
        <v>19</v>
      </c>
      <c r="F5" s="8" t="s">
        <v>28</v>
      </c>
      <c r="G5" s="8" t="s">
        <v>29</v>
      </c>
      <c r="H5" s="8" t="s">
        <v>30</v>
      </c>
      <c r="I5" s="9" t="s">
        <v>31</v>
      </c>
    </row>
    <row r="6" spans="1:9" ht="48" customHeight="1">
      <c r="A6" s="7" t="s">
        <v>9</v>
      </c>
      <c r="B6" s="8" t="s">
        <v>32</v>
      </c>
      <c r="C6" s="8" t="s">
        <v>33</v>
      </c>
      <c r="D6" s="8" t="s">
        <v>34</v>
      </c>
      <c r="E6" s="14" t="s">
        <v>34</v>
      </c>
      <c r="F6" s="8" t="s">
        <v>28</v>
      </c>
      <c r="G6" s="8" t="s">
        <v>29</v>
      </c>
      <c r="H6" s="8" t="s">
        <v>35</v>
      </c>
      <c r="I6" s="9" t="s">
        <v>31</v>
      </c>
    </row>
    <row r="7" spans="1:9" ht="48" customHeight="1">
      <c r="A7" s="7" t="s">
        <v>9</v>
      </c>
      <c r="B7" s="8" t="s">
        <v>36</v>
      </c>
      <c r="C7" s="8" t="s">
        <v>37</v>
      </c>
      <c r="D7" s="8" t="s">
        <v>19</v>
      </c>
      <c r="E7" s="14" t="s">
        <v>19</v>
      </c>
      <c r="F7" s="8" t="s">
        <v>20</v>
      </c>
      <c r="G7" s="8" t="s">
        <v>14</v>
      </c>
      <c r="H7" s="8" t="s">
        <v>38</v>
      </c>
      <c r="I7" s="9" t="s">
        <v>16</v>
      </c>
    </row>
    <row r="8" spans="1:9" ht="48" customHeight="1">
      <c r="A8" s="7" t="s">
        <v>9</v>
      </c>
      <c r="B8" s="8" t="s">
        <v>39</v>
      </c>
      <c r="C8" s="8" t="s">
        <v>40</v>
      </c>
      <c r="D8" s="8" t="s">
        <v>27</v>
      </c>
      <c r="E8" s="14" t="s">
        <v>34</v>
      </c>
      <c r="F8" s="8" t="s">
        <v>28</v>
      </c>
      <c r="G8" s="8" t="s">
        <v>29</v>
      </c>
      <c r="H8" s="8" t="s">
        <v>41</v>
      </c>
      <c r="I8" s="9" t="s">
        <v>31</v>
      </c>
    </row>
    <row r="9" spans="1:9" ht="48" customHeight="1">
      <c r="A9" s="7" t="s">
        <v>9</v>
      </c>
      <c r="B9" s="8" t="s">
        <v>42</v>
      </c>
      <c r="C9" s="8" t="s">
        <v>43</v>
      </c>
      <c r="D9" s="8" t="s">
        <v>19</v>
      </c>
      <c r="E9" s="14" t="s">
        <v>19</v>
      </c>
      <c r="F9" s="8" t="s">
        <v>20</v>
      </c>
      <c r="G9" s="8" t="s">
        <v>14</v>
      </c>
      <c r="H9" s="8" t="s">
        <v>44</v>
      </c>
      <c r="I9" s="9" t="s">
        <v>16</v>
      </c>
    </row>
    <row r="10" spans="1:9" ht="48" customHeight="1">
      <c r="A10" s="7" t="s">
        <v>9</v>
      </c>
      <c r="B10" s="8" t="s">
        <v>45</v>
      </c>
      <c r="C10" s="8" t="s">
        <v>46</v>
      </c>
      <c r="D10" s="8" t="s">
        <v>12</v>
      </c>
      <c r="E10" s="14" t="s">
        <v>12</v>
      </c>
      <c r="F10" s="8" t="s">
        <v>13</v>
      </c>
      <c r="G10" s="8" t="s">
        <v>14</v>
      </c>
      <c r="H10" s="8" t="s">
        <v>47</v>
      </c>
      <c r="I10" s="9" t="s">
        <v>16</v>
      </c>
    </row>
    <row r="11" spans="1:9" ht="48" customHeight="1">
      <c r="A11" s="7" t="s">
        <v>48</v>
      </c>
      <c r="B11" s="8" t="s">
        <v>49</v>
      </c>
      <c r="C11" s="8" t="s">
        <v>50</v>
      </c>
      <c r="D11" s="8" t="s">
        <v>19</v>
      </c>
      <c r="E11" s="14" t="s">
        <v>19</v>
      </c>
      <c r="F11" s="8" t="s">
        <v>20</v>
      </c>
      <c r="G11" s="8" t="s">
        <v>14</v>
      </c>
      <c r="H11" s="8" t="s">
        <v>51</v>
      </c>
      <c r="I11" s="9" t="s">
        <v>16</v>
      </c>
    </row>
    <row r="12" spans="1:9" ht="48" customHeight="1">
      <c r="A12" s="7" t="s">
        <v>48</v>
      </c>
      <c r="B12" s="8" t="s">
        <v>52</v>
      </c>
      <c r="C12" s="8" t="s">
        <v>53</v>
      </c>
      <c r="D12" s="8" t="s">
        <v>19</v>
      </c>
      <c r="E12" s="14" t="s">
        <v>19</v>
      </c>
      <c r="F12" s="8" t="s">
        <v>20</v>
      </c>
      <c r="G12" s="8" t="s">
        <v>14</v>
      </c>
      <c r="H12" s="8" t="s">
        <v>54</v>
      </c>
      <c r="I12" s="9" t="s">
        <v>16</v>
      </c>
    </row>
    <row r="13" spans="1:9" ht="48" customHeight="1">
      <c r="A13" s="7" t="s">
        <v>48</v>
      </c>
      <c r="B13" s="8" t="s">
        <v>55</v>
      </c>
      <c r="C13" s="8" t="s">
        <v>56</v>
      </c>
      <c r="D13" s="8" t="s">
        <v>19</v>
      </c>
      <c r="E13" s="14" t="s">
        <v>19</v>
      </c>
      <c r="F13" s="8" t="s">
        <v>20</v>
      </c>
      <c r="G13" s="8" t="s">
        <v>14</v>
      </c>
      <c r="H13" s="8" t="s">
        <v>57</v>
      </c>
      <c r="I13" s="9" t="s">
        <v>16</v>
      </c>
    </row>
    <row r="14" spans="1:9" ht="48" customHeight="1">
      <c r="A14" s="7" t="s">
        <v>48</v>
      </c>
      <c r="B14" s="8" t="s">
        <v>58</v>
      </c>
      <c r="C14" s="8" t="s">
        <v>59</v>
      </c>
      <c r="D14" s="8" t="s">
        <v>19</v>
      </c>
      <c r="E14" s="14" t="s">
        <v>19</v>
      </c>
      <c r="F14" s="8" t="s">
        <v>20</v>
      </c>
      <c r="G14" s="8" t="s">
        <v>14</v>
      </c>
      <c r="H14" s="8" t="s">
        <v>60</v>
      </c>
      <c r="I14" s="9" t="s">
        <v>16</v>
      </c>
    </row>
    <row r="15" spans="1:9" ht="48" customHeight="1">
      <c r="A15" s="7" t="s">
        <v>48</v>
      </c>
      <c r="B15" s="8" t="s">
        <v>61</v>
      </c>
      <c r="C15" s="8" t="s">
        <v>62</v>
      </c>
      <c r="D15" s="8" t="s">
        <v>19</v>
      </c>
      <c r="E15" s="14" t="s">
        <v>19</v>
      </c>
      <c r="F15" s="8" t="s">
        <v>20</v>
      </c>
      <c r="G15" s="8" t="s">
        <v>14</v>
      </c>
      <c r="H15" s="8" t="s">
        <v>63</v>
      </c>
      <c r="I15" s="9" t="s">
        <v>16</v>
      </c>
    </row>
    <row r="16" spans="1:9" ht="48" customHeight="1">
      <c r="A16" s="7" t="s">
        <v>48</v>
      </c>
      <c r="B16" s="8" t="s">
        <v>64</v>
      </c>
      <c r="C16" s="8" t="s">
        <v>65</v>
      </c>
      <c r="D16" s="8" t="s">
        <v>19</v>
      </c>
      <c r="E16" s="14" t="s">
        <v>19</v>
      </c>
      <c r="F16" s="8" t="s">
        <v>20</v>
      </c>
      <c r="G16" s="8" t="s">
        <v>14</v>
      </c>
      <c r="H16" s="8" t="s">
        <v>66</v>
      </c>
      <c r="I16" s="9" t="s">
        <v>16</v>
      </c>
    </row>
    <row r="17" spans="1:9" ht="48" customHeight="1">
      <c r="A17" s="7" t="s">
        <v>48</v>
      </c>
      <c r="B17" s="8" t="s">
        <v>67</v>
      </c>
      <c r="C17" s="8" t="s">
        <v>68</v>
      </c>
      <c r="D17" s="8" t="s">
        <v>19</v>
      </c>
      <c r="E17" s="14" t="s">
        <v>19</v>
      </c>
      <c r="F17" s="8" t="s">
        <v>20</v>
      </c>
      <c r="G17" s="8" t="s">
        <v>14</v>
      </c>
      <c r="H17" s="8" t="s">
        <v>69</v>
      </c>
      <c r="I17" s="9" t="s">
        <v>16</v>
      </c>
    </row>
    <row r="18" spans="1:9" ht="48" customHeight="1">
      <c r="A18" s="7" t="s">
        <v>48</v>
      </c>
      <c r="B18" s="8" t="s">
        <v>70</v>
      </c>
      <c r="C18" s="8" t="s">
        <v>71</v>
      </c>
      <c r="D18" s="8" t="s">
        <v>19</v>
      </c>
      <c r="E18" s="14" t="s">
        <v>19</v>
      </c>
      <c r="F18" s="8" t="s">
        <v>20</v>
      </c>
      <c r="G18" s="8" t="s">
        <v>14</v>
      </c>
      <c r="H18" s="8" t="s">
        <v>72</v>
      </c>
      <c r="I18" s="9" t="s">
        <v>16</v>
      </c>
    </row>
    <row r="19" spans="1:9" ht="48" customHeight="1">
      <c r="A19" s="7" t="s">
        <v>48</v>
      </c>
      <c r="B19" s="8" t="s">
        <v>73</v>
      </c>
      <c r="C19" s="8" t="s">
        <v>74</v>
      </c>
      <c r="D19" s="8" t="s">
        <v>19</v>
      </c>
      <c r="E19" s="14" t="s">
        <v>19</v>
      </c>
      <c r="F19" s="8" t="s">
        <v>20</v>
      </c>
      <c r="G19" s="8" t="s">
        <v>14</v>
      </c>
      <c r="H19" s="8" t="s">
        <v>75</v>
      </c>
      <c r="I19" s="9" t="s">
        <v>16</v>
      </c>
    </row>
    <row r="20" spans="1:9" ht="48" customHeight="1">
      <c r="A20" s="7" t="s">
        <v>48</v>
      </c>
      <c r="B20" s="8" t="s">
        <v>76</v>
      </c>
      <c r="C20" s="8" t="s">
        <v>77</v>
      </c>
      <c r="D20" s="8" t="s">
        <v>27</v>
      </c>
      <c r="E20" s="14" t="s">
        <v>346</v>
      </c>
      <c r="F20" s="8" t="s">
        <v>28</v>
      </c>
      <c r="G20" s="8" t="s">
        <v>29</v>
      </c>
      <c r="H20" s="8" t="s">
        <v>78</v>
      </c>
      <c r="I20" s="9" t="s">
        <v>31</v>
      </c>
    </row>
    <row r="21" spans="1:9" ht="48" customHeight="1">
      <c r="A21" s="7" t="s">
        <v>48</v>
      </c>
      <c r="B21" s="8" t="s">
        <v>79</v>
      </c>
      <c r="C21" s="8" t="s">
        <v>80</v>
      </c>
      <c r="D21" s="8" t="s">
        <v>34</v>
      </c>
      <c r="E21" s="14" t="s">
        <v>34</v>
      </c>
      <c r="F21" s="8" t="s">
        <v>28</v>
      </c>
      <c r="G21" s="8" t="s">
        <v>29</v>
      </c>
      <c r="H21" s="8" t="s">
        <v>81</v>
      </c>
      <c r="I21" s="9" t="s">
        <v>31</v>
      </c>
    </row>
    <row r="22" spans="1:9" ht="48" customHeight="1">
      <c r="A22" s="7" t="s">
        <v>82</v>
      </c>
      <c r="B22" s="8" t="s">
        <v>83</v>
      </c>
      <c r="C22" s="8" t="s">
        <v>84</v>
      </c>
      <c r="D22" s="8" t="s">
        <v>27</v>
      </c>
      <c r="E22" s="14" t="s">
        <v>34</v>
      </c>
      <c r="F22" s="8" t="s">
        <v>28</v>
      </c>
      <c r="G22" s="8" t="s">
        <v>29</v>
      </c>
      <c r="H22" s="8" t="s">
        <v>85</v>
      </c>
      <c r="I22" s="9" t="s">
        <v>31</v>
      </c>
    </row>
    <row r="23" spans="1:9" ht="48" customHeight="1">
      <c r="A23" s="7" t="s">
        <v>82</v>
      </c>
      <c r="B23" s="8" t="s">
        <v>86</v>
      </c>
      <c r="C23" s="8" t="s">
        <v>87</v>
      </c>
      <c r="D23" s="8" t="s">
        <v>19</v>
      </c>
      <c r="E23" s="14" t="s">
        <v>19</v>
      </c>
      <c r="F23" s="8" t="s">
        <v>20</v>
      </c>
      <c r="G23" s="8" t="s">
        <v>14</v>
      </c>
      <c r="H23" s="8" t="s">
        <v>88</v>
      </c>
      <c r="I23" s="9" t="s">
        <v>16</v>
      </c>
    </row>
    <row r="24" spans="1:9" ht="48" customHeight="1">
      <c r="A24" s="7" t="s">
        <v>82</v>
      </c>
      <c r="B24" s="8" t="s">
        <v>89</v>
      </c>
      <c r="C24" s="8" t="s">
        <v>90</v>
      </c>
      <c r="D24" s="8" t="s">
        <v>19</v>
      </c>
      <c r="E24" s="14" t="s">
        <v>19</v>
      </c>
      <c r="F24" s="8" t="s">
        <v>20</v>
      </c>
      <c r="G24" s="8" t="s">
        <v>14</v>
      </c>
      <c r="H24" s="8" t="s">
        <v>91</v>
      </c>
      <c r="I24" s="9" t="s">
        <v>16</v>
      </c>
    </row>
    <row r="25" spans="1:9" ht="48" customHeight="1">
      <c r="A25" s="7" t="s">
        <v>82</v>
      </c>
      <c r="B25" s="8" t="s">
        <v>92</v>
      </c>
      <c r="C25" s="8" t="s">
        <v>93</v>
      </c>
      <c r="D25" s="8" t="s">
        <v>19</v>
      </c>
      <c r="E25" s="14" t="s">
        <v>19</v>
      </c>
      <c r="F25" s="8" t="s">
        <v>20</v>
      </c>
      <c r="G25" s="8" t="s">
        <v>14</v>
      </c>
      <c r="H25" s="8" t="s">
        <v>94</v>
      </c>
      <c r="I25" s="9" t="s">
        <v>16</v>
      </c>
    </row>
    <row r="26" spans="1:9" ht="48" customHeight="1">
      <c r="A26" s="7" t="s">
        <v>82</v>
      </c>
      <c r="B26" s="8" t="s">
        <v>95</v>
      </c>
      <c r="C26" s="8" t="s">
        <v>96</v>
      </c>
      <c r="D26" s="8" t="s">
        <v>27</v>
      </c>
      <c r="E26" s="14" t="s">
        <v>346</v>
      </c>
      <c r="F26" s="8" t="s">
        <v>28</v>
      </c>
      <c r="G26" s="8" t="s">
        <v>29</v>
      </c>
      <c r="H26" s="8" t="s">
        <v>97</v>
      </c>
      <c r="I26" s="9" t="s">
        <v>31</v>
      </c>
    </row>
    <row r="27" spans="1:9" ht="48" customHeight="1">
      <c r="A27" s="7" t="s">
        <v>82</v>
      </c>
      <c r="B27" s="8" t="s">
        <v>98</v>
      </c>
      <c r="C27" s="8" t="s">
        <v>99</v>
      </c>
      <c r="D27" s="8" t="s">
        <v>19</v>
      </c>
      <c r="E27" s="14" t="s">
        <v>19</v>
      </c>
      <c r="F27" s="8" t="s">
        <v>20</v>
      </c>
      <c r="G27" s="8" t="s">
        <v>14</v>
      </c>
      <c r="H27" s="8" t="s">
        <v>100</v>
      </c>
      <c r="I27" s="9" t="s">
        <v>16</v>
      </c>
    </row>
    <row r="28" spans="1:9" ht="48" customHeight="1">
      <c r="A28" s="7" t="s">
        <v>82</v>
      </c>
      <c r="B28" s="8" t="s">
        <v>101</v>
      </c>
      <c r="C28" s="8" t="s">
        <v>102</v>
      </c>
      <c r="D28" s="8" t="s">
        <v>19</v>
      </c>
      <c r="E28" s="14" t="s">
        <v>19</v>
      </c>
      <c r="F28" s="8" t="s">
        <v>13</v>
      </c>
      <c r="G28" s="8" t="s">
        <v>14</v>
      </c>
      <c r="H28" s="8" t="s">
        <v>103</v>
      </c>
      <c r="I28" s="9" t="s">
        <v>16</v>
      </c>
    </row>
    <row r="29" spans="1:9" ht="48" customHeight="1">
      <c r="A29" s="7" t="s">
        <v>82</v>
      </c>
      <c r="B29" s="8" t="s">
        <v>104</v>
      </c>
      <c r="C29" s="8" t="s">
        <v>105</v>
      </c>
      <c r="D29" s="8" t="s">
        <v>34</v>
      </c>
      <c r="E29" s="14" t="s">
        <v>34</v>
      </c>
      <c r="F29" s="8" t="s">
        <v>28</v>
      </c>
      <c r="G29" s="8" t="s">
        <v>29</v>
      </c>
      <c r="H29" s="8" t="s">
        <v>106</v>
      </c>
      <c r="I29" s="9" t="s">
        <v>31</v>
      </c>
    </row>
    <row r="30" spans="1:9" ht="48" customHeight="1">
      <c r="A30" s="7" t="s">
        <v>82</v>
      </c>
      <c r="B30" s="8" t="s">
        <v>107</v>
      </c>
      <c r="C30" s="8" t="s">
        <v>108</v>
      </c>
      <c r="D30" s="8" t="s">
        <v>12</v>
      </c>
      <c r="E30" s="14" t="s">
        <v>19</v>
      </c>
      <c r="F30" s="8" t="s">
        <v>13</v>
      </c>
      <c r="G30" s="8" t="s">
        <v>14</v>
      </c>
      <c r="H30" s="8" t="s">
        <v>109</v>
      </c>
      <c r="I30" s="9" t="s">
        <v>16</v>
      </c>
    </row>
    <row r="31" spans="1:9" ht="48" customHeight="1">
      <c r="A31" s="7" t="s">
        <v>82</v>
      </c>
      <c r="B31" s="8" t="s">
        <v>110</v>
      </c>
      <c r="C31" s="8" t="s">
        <v>111</v>
      </c>
      <c r="D31" s="8" t="s">
        <v>27</v>
      </c>
      <c r="E31" s="14" t="s">
        <v>346</v>
      </c>
      <c r="F31" s="8" t="s">
        <v>28</v>
      </c>
      <c r="G31" s="8" t="s">
        <v>29</v>
      </c>
      <c r="H31" s="8" t="s">
        <v>112</v>
      </c>
      <c r="I31" s="9" t="s">
        <v>31</v>
      </c>
    </row>
    <row r="32" spans="1:9" ht="48" customHeight="1">
      <c r="A32" s="7" t="s">
        <v>113</v>
      </c>
      <c r="B32" s="8" t="s">
        <v>114</v>
      </c>
      <c r="C32" s="8" t="s">
        <v>115</v>
      </c>
      <c r="D32" s="8" t="s">
        <v>27</v>
      </c>
      <c r="E32" s="14" t="s">
        <v>346</v>
      </c>
      <c r="F32" s="8" t="s">
        <v>28</v>
      </c>
      <c r="G32" s="8" t="s">
        <v>29</v>
      </c>
      <c r="H32" s="8" t="s">
        <v>116</v>
      </c>
      <c r="I32" s="9" t="s">
        <v>31</v>
      </c>
    </row>
    <row r="33" spans="1:9" ht="48" customHeight="1">
      <c r="A33" s="7" t="s">
        <v>113</v>
      </c>
      <c r="B33" s="8" t="s">
        <v>117</v>
      </c>
      <c r="C33" s="8" t="s">
        <v>118</v>
      </c>
      <c r="D33" s="8" t="s">
        <v>27</v>
      </c>
      <c r="E33" s="14" t="s">
        <v>346</v>
      </c>
      <c r="F33" s="8" t="s">
        <v>28</v>
      </c>
      <c r="G33" s="8" t="s">
        <v>29</v>
      </c>
      <c r="H33" s="8" t="s">
        <v>119</v>
      </c>
      <c r="I33" s="9" t="s">
        <v>31</v>
      </c>
    </row>
    <row r="34" spans="1:9" ht="48" customHeight="1">
      <c r="A34" s="7" t="s">
        <v>113</v>
      </c>
      <c r="B34" s="8" t="s">
        <v>120</v>
      </c>
      <c r="C34" s="8" t="s">
        <v>121</v>
      </c>
      <c r="D34" s="8" t="s">
        <v>19</v>
      </c>
      <c r="E34" s="14" t="s">
        <v>19</v>
      </c>
      <c r="F34" s="8" t="s">
        <v>20</v>
      </c>
      <c r="G34" s="8" t="s">
        <v>14</v>
      </c>
      <c r="H34" s="8" t="s">
        <v>122</v>
      </c>
      <c r="I34" s="9" t="s">
        <v>16</v>
      </c>
    </row>
    <row r="35" spans="1:9" ht="48" customHeight="1">
      <c r="A35" s="7" t="s">
        <v>113</v>
      </c>
      <c r="B35" s="8" t="s">
        <v>123</v>
      </c>
      <c r="C35" s="8" t="s">
        <v>124</v>
      </c>
      <c r="D35" s="8" t="s">
        <v>19</v>
      </c>
      <c r="E35" s="14" t="s">
        <v>19</v>
      </c>
      <c r="F35" s="8" t="s">
        <v>20</v>
      </c>
      <c r="G35" s="8" t="s">
        <v>14</v>
      </c>
      <c r="H35" s="8" t="s">
        <v>91</v>
      </c>
      <c r="I35" s="9" t="s">
        <v>16</v>
      </c>
    </row>
    <row r="36" spans="1:9" ht="48" customHeight="1">
      <c r="A36" s="7" t="s">
        <v>113</v>
      </c>
      <c r="B36" s="8" t="s">
        <v>125</v>
      </c>
      <c r="C36" s="8" t="s">
        <v>126</v>
      </c>
      <c r="D36" s="8" t="s">
        <v>19</v>
      </c>
      <c r="E36" s="14" t="s">
        <v>19</v>
      </c>
      <c r="F36" s="8" t="s">
        <v>13</v>
      </c>
      <c r="G36" s="8" t="s">
        <v>14</v>
      </c>
      <c r="H36" s="8" t="s">
        <v>94</v>
      </c>
      <c r="I36" s="9" t="s">
        <v>16</v>
      </c>
    </row>
    <row r="37" spans="1:9" ht="48" customHeight="1">
      <c r="A37" s="7" t="s">
        <v>113</v>
      </c>
      <c r="B37" s="8" t="s">
        <v>127</v>
      </c>
      <c r="C37" s="8" t="s">
        <v>128</v>
      </c>
      <c r="D37" s="8" t="s">
        <v>19</v>
      </c>
      <c r="E37" s="14" t="s">
        <v>19</v>
      </c>
      <c r="F37" s="8" t="s">
        <v>20</v>
      </c>
      <c r="G37" s="8" t="s">
        <v>14</v>
      </c>
      <c r="H37" s="8" t="s">
        <v>129</v>
      </c>
      <c r="I37" s="9" t="s">
        <v>16</v>
      </c>
    </row>
    <row r="38" spans="1:9" ht="48" customHeight="1">
      <c r="A38" s="7" t="s">
        <v>113</v>
      </c>
      <c r="B38" s="8" t="s">
        <v>130</v>
      </c>
      <c r="C38" s="8" t="s">
        <v>102</v>
      </c>
      <c r="D38" s="8" t="s">
        <v>19</v>
      </c>
      <c r="E38" s="14" t="s">
        <v>19</v>
      </c>
      <c r="F38" s="8" t="s">
        <v>13</v>
      </c>
      <c r="G38" s="8" t="s">
        <v>14</v>
      </c>
      <c r="H38" s="8" t="s">
        <v>103</v>
      </c>
      <c r="I38" s="9" t="s">
        <v>16</v>
      </c>
    </row>
    <row r="39" spans="1:9" ht="48" customHeight="1">
      <c r="A39" s="7" t="s">
        <v>113</v>
      </c>
      <c r="B39" s="8" t="s">
        <v>131</v>
      </c>
      <c r="C39" s="8" t="s">
        <v>132</v>
      </c>
      <c r="D39" s="8" t="s">
        <v>34</v>
      </c>
      <c r="E39" s="14" t="s">
        <v>34</v>
      </c>
      <c r="F39" s="8" t="s">
        <v>28</v>
      </c>
      <c r="G39" s="8" t="s">
        <v>29</v>
      </c>
      <c r="H39" s="8" t="s">
        <v>106</v>
      </c>
      <c r="I39" s="9" t="s">
        <v>31</v>
      </c>
    </row>
    <row r="40" spans="1:9" ht="48" customHeight="1">
      <c r="A40" s="7" t="s">
        <v>113</v>
      </c>
      <c r="B40" s="8" t="s">
        <v>133</v>
      </c>
      <c r="C40" s="8" t="s">
        <v>134</v>
      </c>
      <c r="D40" s="8" t="s">
        <v>34</v>
      </c>
      <c r="E40" s="14" t="s">
        <v>34</v>
      </c>
      <c r="F40" s="8" t="s">
        <v>28</v>
      </c>
      <c r="G40" s="8" t="s">
        <v>29</v>
      </c>
      <c r="H40" s="8" t="s">
        <v>135</v>
      </c>
      <c r="I40" s="9" t="s">
        <v>31</v>
      </c>
    </row>
    <row r="41" spans="1:9" ht="48" customHeight="1">
      <c r="A41" s="7" t="s">
        <v>113</v>
      </c>
      <c r="B41" s="8" t="s">
        <v>136</v>
      </c>
      <c r="C41" s="8" t="s">
        <v>137</v>
      </c>
      <c r="D41" s="8" t="s">
        <v>12</v>
      </c>
      <c r="E41" s="14" t="s">
        <v>12</v>
      </c>
      <c r="F41" s="8" t="s">
        <v>13</v>
      </c>
      <c r="G41" s="8" t="s">
        <v>14</v>
      </c>
      <c r="H41" s="8" t="s">
        <v>138</v>
      </c>
      <c r="I41" s="9" t="s">
        <v>16</v>
      </c>
    </row>
    <row r="42" spans="1:9" ht="48" customHeight="1">
      <c r="A42" s="7" t="s">
        <v>139</v>
      </c>
      <c r="B42" s="8" t="s">
        <v>140</v>
      </c>
      <c r="C42" s="8" t="s">
        <v>141</v>
      </c>
      <c r="D42" s="8" t="s">
        <v>19</v>
      </c>
      <c r="E42" s="14" t="s">
        <v>19</v>
      </c>
      <c r="F42" s="8" t="s">
        <v>20</v>
      </c>
      <c r="G42" s="8" t="s">
        <v>14</v>
      </c>
      <c r="H42" s="8" t="s">
        <v>142</v>
      </c>
      <c r="I42" s="9" t="s">
        <v>16</v>
      </c>
    </row>
    <row r="43" spans="1:9" ht="48" customHeight="1">
      <c r="A43" s="7" t="s">
        <v>139</v>
      </c>
      <c r="B43" s="8" t="s">
        <v>143</v>
      </c>
      <c r="C43" s="8" t="s">
        <v>144</v>
      </c>
      <c r="D43" s="8" t="s">
        <v>19</v>
      </c>
      <c r="E43" s="14" t="s">
        <v>19</v>
      </c>
      <c r="F43" s="8" t="s">
        <v>20</v>
      </c>
      <c r="G43" s="8" t="s">
        <v>14</v>
      </c>
      <c r="H43" s="8" t="s">
        <v>145</v>
      </c>
      <c r="I43" s="9" t="s">
        <v>16</v>
      </c>
    </row>
    <row r="44" spans="1:9" ht="48" customHeight="1">
      <c r="A44" s="7" t="s">
        <v>139</v>
      </c>
      <c r="B44" s="8" t="s">
        <v>146</v>
      </c>
      <c r="C44" s="8" t="s">
        <v>147</v>
      </c>
      <c r="D44" s="8" t="s">
        <v>19</v>
      </c>
      <c r="E44" s="14" t="s">
        <v>19</v>
      </c>
      <c r="F44" s="8" t="s">
        <v>13</v>
      </c>
      <c r="G44" s="8" t="s">
        <v>14</v>
      </c>
      <c r="H44" s="8" t="s">
        <v>148</v>
      </c>
      <c r="I44" s="9" t="s">
        <v>16</v>
      </c>
    </row>
    <row r="45" spans="1:9" ht="48" customHeight="1">
      <c r="A45" s="7" t="s">
        <v>139</v>
      </c>
      <c r="B45" s="8" t="s">
        <v>149</v>
      </c>
      <c r="C45" s="8" t="s">
        <v>150</v>
      </c>
      <c r="D45" s="8" t="s">
        <v>19</v>
      </c>
      <c r="E45" s="14" t="s">
        <v>19</v>
      </c>
      <c r="F45" s="8" t="s">
        <v>13</v>
      </c>
      <c r="G45" s="8" t="s">
        <v>14</v>
      </c>
      <c r="H45" s="8" t="s">
        <v>148</v>
      </c>
      <c r="I45" s="9" t="s">
        <v>16</v>
      </c>
    </row>
    <row r="46" spans="1:9" ht="48" customHeight="1">
      <c r="A46" s="7" t="s">
        <v>139</v>
      </c>
      <c r="B46" s="8" t="s">
        <v>151</v>
      </c>
      <c r="C46" s="8" t="s">
        <v>152</v>
      </c>
      <c r="D46" s="8" t="s">
        <v>153</v>
      </c>
      <c r="E46" s="14" t="s">
        <v>19</v>
      </c>
      <c r="F46" s="8" t="s">
        <v>13</v>
      </c>
      <c r="G46" s="8" t="s">
        <v>14</v>
      </c>
      <c r="H46" s="8" t="s">
        <v>154</v>
      </c>
      <c r="I46" s="9" t="s">
        <v>31</v>
      </c>
    </row>
    <row r="47" spans="1:9" ht="48" customHeight="1">
      <c r="A47" s="7" t="s">
        <v>139</v>
      </c>
      <c r="B47" s="8" t="s">
        <v>155</v>
      </c>
      <c r="C47" s="8" t="s">
        <v>156</v>
      </c>
      <c r="D47" s="8" t="s">
        <v>27</v>
      </c>
      <c r="E47" s="14" t="s">
        <v>27</v>
      </c>
      <c r="F47" s="8" t="s">
        <v>28</v>
      </c>
      <c r="G47" s="8" t="s">
        <v>29</v>
      </c>
      <c r="H47" s="8" t="s">
        <v>157</v>
      </c>
      <c r="I47" s="9" t="s">
        <v>31</v>
      </c>
    </row>
    <row r="48" spans="1:9" ht="48" customHeight="1">
      <c r="A48" s="7" t="s">
        <v>139</v>
      </c>
      <c r="B48" s="8" t="s">
        <v>158</v>
      </c>
      <c r="C48" s="8" t="s">
        <v>159</v>
      </c>
      <c r="D48" s="8" t="s">
        <v>19</v>
      </c>
      <c r="E48" s="14" t="s">
        <v>19</v>
      </c>
      <c r="F48" s="8" t="s">
        <v>13</v>
      </c>
      <c r="G48" s="8" t="s">
        <v>14</v>
      </c>
      <c r="H48" s="8" t="s">
        <v>160</v>
      </c>
      <c r="I48" s="9" t="s">
        <v>16</v>
      </c>
    </row>
    <row r="49" spans="1:9" ht="48" customHeight="1">
      <c r="A49" s="7" t="s">
        <v>139</v>
      </c>
      <c r="B49" s="8" t="s">
        <v>161</v>
      </c>
      <c r="C49" s="8" t="s">
        <v>162</v>
      </c>
      <c r="D49" s="8" t="s">
        <v>19</v>
      </c>
      <c r="E49" s="14" t="s">
        <v>19</v>
      </c>
      <c r="F49" s="8" t="s">
        <v>13</v>
      </c>
      <c r="G49" s="8" t="s">
        <v>14</v>
      </c>
      <c r="H49" s="8" t="s">
        <v>163</v>
      </c>
      <c r="I49" s="9" t="s">
        <v>16</v>
      </c>
    </row>
    <row r="50" spans="1:9" ht="48" customHeight="1">
      <c r="A50" s="7" t="s">
        <v>139</v>
      </c>
      <c r="B50" s="8" t="s">
        <v>164</v>
      </c>
      <c r="C50" s="8" t="s">
        <v>165</v>
      </c>
      <c r="D50" s="8" t="s">
        <v>27</v>
      </c>
      <c r="E50" s="14" t="s">
        <v>34</v>
      </c>
      <c r="F50" s="8" t="s">
        <v>28</v>
      </c>
      <c r="G50" s="8" t="s">
        <v>29</v>
      </c>
      <c r="H50" s="8" t="s">
        <v>166</v>
      </c>
      <c r="I50" s="9" t="s">
        <v>31</v>
      </c>
    </row>
    <row r="51" spans="1:9" ht="48" customHeight="1">
      <c r="A51" s="7" t="s">
        <v>139</v>
      </c>
      <c r="B51" s="8" t="s">
        <v>167</v>
      </c>
      <c r="C51" s="8" t="s">
        <v>168</v>
      </c>
      <c r="D51" s="8" t="s">
        <v>27</v>
      </c>
      <c r="E51" s="14" t="s">
        <v>346</v>
      </c>
      <c r="F51" s="8" t="s">
        <v>28</v>
      </c>
      <c r="G51" s="8" t="s">
        <v>29</v>
      </c>
      <c r="H51" s="8" t="s">
        <v>169</v>
      </c>
      <c r="I51" s="9" t="s">
        <v>31</v>
      </c>
    </row>
    <row r="52" spans="1:9" ht="48" customHeight="1">
      <c r="A52" s="7" t="s">
        <v>139</v>
      </c>
      <c r="B52" s="8" t="s">
        <v>170</v>
      </c>
      <c r="C52" s="8" t="s">
        <v>171</v>
      </c>
      <c r="D52" s="8" t="s">
        <v>27</v>
      </c>
      <c r="E52" s="14" t="s">
        <v>346</v>
      </c>
      <c r="F52" s="8" t="s">
        <v>28</v>
      </c>
      <c r="G52" s="8" t="s">
        <v>29</v>
      </c>
      <c r="H52" s="8" t="s">
        <v>172</v>
      </c>
      <c r="I52" s="9" t="s">
        <v>31</v>
      </c>
    </row>
    <row r="53" spans="1:9" ht="48" customHeight="1">
      <c r="A53" s="7" t="s">
        <v>139</v>
      </c>
      <c r="B53" s="8" t="s">
        <v>173</v>
      </c>
      <c r="C53" s="8" t="s">
        <v>174</v>
      </c>
      <c r="D53" s="8" t="s">
        <v>19</v>
      </c>
      <c r="E53" s="14" t="s">
        <v>19</v>
      </c>
      <c r="F53" s="8" t="s">
        <v>13</v>
      </c>
      <c r="G53" s="8" t="s">
        <v>14</v>
      </c>
      <c r="H53" s="8" t="s">
        <v>175</v>
      </c>
      <c r="I53" s="9" t="s">
        <v>16</v>
      </c>
    </row>
    <row r="54" spans="1:9" ht="48" customHeight="1">
      <c r="A54" s="7" t="s">
        <v>139</v>
      </c>
      <c r="B54" s="8" t="s">
        <v>176</v>
      </c>
      <c r="C54" s="8" t="s">
        <v>177</v>
      </c>
      <c r="D54" s="8" t="s">
        <v>178</v>
      </c>
      <c r="E54" s="14" t="s">
        <v>346</v>
      </c>
      <c r="F54" s="8" t="s">
        <v>28</v>
      </c>
      <c r="G54" s="8" t="s">
        <v>29</v>
      </c>
      <c r="H54" s="8" t="s">
        <v>179</v>
      </c>
      <c r="I54" s="9" t="s">
        <v>31</v>
      </c>
    </row>
    <row r="55" spans="1:9" ht="48" customHeight="1">
      <c r="A55" s="7" t="s">
        <v>139</v>
      </c>
      <c r="B55" s="8" t="s">
        <v>180</v>
      </c>
      <c r="C55" s="8" t="s">
        <v>181</v>
      </c>
      <c r="D55" s="8" t="s">
        <v>12</v>
      </c>
      <c r="E55" s="14" t="s">
        <v>346</v>
      </c>
      <c r="F55" s="8" t="s">
        <v>13</v>
      </c>
      <c r="G55" s="8" t="s">
        <v>14</v>
      </c>
      <c r="H55" s="8" t="s">
        <v>182</v>
      </c>
      <c r="I55" s="9" t="s">
        <v>16</v>
      </c>
    </row>
    <row r="56" spans="1:9" ht="48" customHeight="1">
      <c r="A56" s="7" t="s">
        <v>139</v>
      </c>
      <c r="B56" s="8" t="s">
        <v>183</v>
      </c>
      <c r="C56" s="8" t="s">
        <v>184</v>
      </c>
      <c r="D56" s="8" t="s">
        <v>34</v>
      </c>
      <c r="E56" s="14" t="s">
        <v>34</v>
      </c>
      <c r="F56" s="8" t="s">
        <v>28</v>
      </c>
      <c r="G56" s="8" t="s">
        <v>29</v>
      </c>
      <c r="H56" s="8" t="s">
        <v>185</v>
      </c>
      <c r="I56" s="9" t="s">
        <v>31</v>
      </c>
    </row>
    <row r="57" spans="1:9" ht="48" customHeight="1">
      <c r="A57" s="7" t="s">
        <v>186</v>
      </c>
      <c r="B57" s="8" t="s">
        <v>187</v>
      </c>
      <c r="C57" s="8" t="s">
        <v>188</v>
      </c>
      <c r="D57" s="8" t="s">
        <v>19</v>
      </c>
      <c r="E57" s="14" t="s">
        <v>19</v>
      </c>
      <c r="F57" s="8" t="s">
        <v>20</v>
      </c>
      <c r="G57" s="8" t="s">
        <v>14</v>
      </c>
      <c r="H57" s="8" t="s">
        <v>189</v>
      </c>
      <c r="I57" s="9" t="s">
        <v>16</v>
      </c>
    </row>
    <row r="58" spans="1:9" ht="48" customHeight="1">
      <c r="A58" s="7" t="s">
        <v>186</v>
      </c>
      <c r="B58" s="8" t="s">
        <v>190</v>
      </c>
      <c r="C58" s="8" t="s">
        <v>191</v>
      </c>
      <c r="D58" s="8" t="s">
        <v>19</v>
      </c>
      <c r="E58" s="14" t="s">
        <v>19</v>
      </c>
      <c r="F58" s="8" t="s">
        <v>20</v>
      </c>
      <c r="G58" s="8" t="s">
        <v>14</v>
      </c>
      <c r="H58" s="8" t="s">
        <v>192</v>
      </c>
      <c r="I58" s="9" t="s">
        <v>16</v>
      </c>
    </row>
    <row r="59" spans="1:9" ht="48" customHeight="1">
      <c r="A59" s="7" t="s">
        <v>186</v>
      </c>
      <c r="B59" s="8" t="s">
        <v>193</v>
      </c>
      <c r="C59" s="8" t="s">
        <v>194</v>
      </c>
      <c r="D59" s="8" t="s">
        <v>19</v>
      </c>
      <c r="E59" s="14" t="s">
        <v>19</v>
      </c>
      <c r="F59" s="8" t="s">
        <v>13</v>
      </c>
      <c r="G59" s="8" t="s">
        <v>14</v>
      </c>
      <c r="H59" s="8" t="s">
        <v>94</v>
      </c>
      <c r="I59" s="9" t="s">
        <v>16</v>
      </c>
    </row>
    <row r="60" spans="1:9" ht="48" customHeight="1">
      <c r="A60" s="7" t="s">
        <v>186</v>
      </c>
      <c r="B60" s="8" t="s">
        <v>195</v>
      </c>
      <c r="C60" s="8" t="s">
        <v>196</v>
      </c>
      <c r="D60" s="8" t="s">
        <v>19</v>
      </c>
      <c r="E60" s="14" t="s">
        <v>19</v>
      </c>
      <c r="F60" s="8" t="s">
        <v>20</v>
      </c>
      <c r="G60" s="8" t="s">
        <v>14</v>
      </c>
      <c r="H60" s="8" t="s">
        <v>197</v>
      </c>
      <c r="I60" s="9" t="s">
        <v>16</v>
      </c>
    </row>
    <row r="61" spans="1:9" ht="48" customHeight="1">
      <c r="A61" s="7" t="s">
        <v>186</v>
      </c>
      <c r="B61" s="8" t="s">
        <v>198</v>
      </c>
      <c r="C61" s="8" t="s">
        <v>199</v>
      </c>
      <c r="D61" s="8" t="s">
        <v>27</v>
      </c>
      <c r="E61" s="14" t="s">
        <v>27</v>
      </c>
      <c r="F61" s="8" t="s">
        <v>28</v>
      </c>
      <c r="G61" s="8" t="s">
        <v>29</v>
      </c>
      <c r="H61" s="8" t="s">
        <v>200</v>
      </c>
      <c r="I61" s="9" t="s">
        <v>31</v>
      </c>
    </row>
    <row r="62" spans="1:9" ht="48" customHeight="1">
      <c r="A62" s="7" t="s">
        <v>186</v>
      </c>
      <c r="B62" s="8" t="s">
        <v>201</v>
      </c>
      <c r="C62" s="8" t="s">
        <v>202</v>
      </c>
      <c r="D62" s="8" t="s">
        <v>19</v>
      </c>
      <c r="E62" s="14" t="s">
        <v>19</v>
      </c>
      <c r="F62" s="8" t="s">
        <v>13</v>
      </c>
      <c r="G62" s="8" t="s">
        <v>14</v>
      </c>
      <c r="H62" s="8" t="s">
        <v>203</v>
      </c>
      <c r="I62" s="9" t="s">
        <v>16</v>
      </c>
    </row>
    <row r="63" spans="1:9" ht="48" customHeight="1">
      <c r="A63" s="7" t="s">
        <v>186</v>
      </c>
      <c r="B63" s="8" t="s">
        <v>204</v>
      </c>
      <c r="C63" s="8" t="s">
        <v>205</v>
      </c>
      <c r="D63" s="8" t="s">
        <v>19</v>
      </c>
      <c r="E63" s="14" t="s">
        <v>19</v>
      </c>
      <c r="F63" s="8" t="s">
        <v>20</v>
      </c>
      <c r="G63" s="8" t="s">
        <v>14</v>
      </c>
      <c r="H63" s="8" t="s">
        <v>206</v>
      </c>
      <c r="I63" s="9" t="s">
        <v>16</v>
      </c>
    </row>
    <row r="64" spans="1:9" ht="48" customHeight="1">
      <c r="A64" s="7" t="s">
        <v>186</v>
      </c>
      <c r="B64" s="8" t="s">
        <v>207</v>
      </c>
      <c r="C64" s="8" t="s">
        <v>208</v>
      </c>
      <c r="D64" s="8" t="s">
        <v>19</v>
      </c>
      <c r="E64" s="14" t="s">
        <v>19</v>
      </c>
      <c r="F64" s="8" t="s">
        <v>13</v>
      </c>
      <c r="G64" s="8" t="s">
        <v>14</v>
      </c>
      <c r="H64" s="8" t="s">
        <v>209</v>
      </c>
      <c r="I64" s="9" t="s">
        <v>16</v>
      </c>
    </row>
    <row r="65" spans="1:9" ht="48" customHeight="1">
      <c r="A65" s="7" t="s">
        <v>186</v>
      </c>
      <c r="B65" s="8" t="s">
        <v>210</v>
      </c>
      <c r="C65" s="8" t="s">
        <v>211</v>
      </c>
      <c r="D65" s="8" t="s">
        <v>27</v>
      </c>
      <c r="E65" s="14" t="s">
        <v>19</v>
      </c>
      <c r="F65" s="8" t="s">
        <v>28</v>
      </c>
      <c r="G65" s="8" t="s">
        <v>29</v>
      </c>
      <c r="H65" s="8" t="s">
        <v>212</v>
      </c>
      <c r="I65" s="9" t="s">
        <v>31</v>
      </c>
    </row>
    <row r="66" spans="1:9" ht="48" customHeight="1">
      <c r="A66" s="7" t="s">
        <v>186</v>
      </c>
      <c r="B66" s="8" t="s">
        <v>213</v>
      </c>
      <c r="C66" s="8" t="s">
        <v>214</v>
      </c>
      <c r="D66" s="8" t="s">
        <v>215</v>
      </c>
      <c r="E66" s="14" t="s">
        <v>215</v>
      </c>
      <c r="F66" s="8" t="s">
        <v>13</v>
      </c>
      <c r="G66" s="8" t="s">
        <v>14</v>
      </c>
      <c r="H66" s="8" t="s">
        <v>216</v>
      </c>
      <c r="I66" s="9" t="s">
        <v>31</v>
      </c>
    </row>
    <row r="67" spans="1:9" ht="48" customHeight="1">
      <c r="A67" s="7" t="s">
        <v>186</v>
      </c>
      <c r="B67" s="8" t="s">
        <v>217</v>
      </c>
      <c r="C67" s="8" t="s">
        <v>218</v>
      </c>
      <c r="D67" s="8" t="s">
        <v>19</v>
      </c>
      <c r="E67" s="14" t="s">
        <v>19</v>
      </c>
      <c r="F67" s="8" t="s">
        <v>13</v>
      </c>
      <c r="G67" s="8" t="s">
        <v>14</v>
      </c>
      <c r="H67" s="8" t="s">
        <v>219</v>
      </c>
      <c r="I67" s="9" t="s">
        <v>16</v>
      </c>
    </row>
    <row r="68" spans="1:9" ht="48" customHeight="1">
      <c r="A68" s="7" t="s">
        <v>186</v>
      </c>
      <c r="B68" s="8" t="s">
        <v>220</v>
      </c>
      <c r="C68" s="8" t="s">
        <v>221</v>
      </c>
      <c r="D68" s="8" t="s">
        <v>19</v>
      </c>
      <c r="E68" s="14" t="s">
        <v>19</v>
      </c>
      <c r="F68" s="8" t="s">
        <v>13</v>
      </c>
      <c r="G68" s="8" t="s">
        <v>14</v>
      </c>
      <c r="H68" s="8" t="s">
        <v>222</v>
      </c>
      <c r="I68" s="9" t="s">
        <v>16</v>
      </c>
    </row>
    <row r="69" spans="1:9" ht="48" customHeight="1">
      <c r="A69" s="7" t="s">
        <v>186</v>
      </c>
      <c r="B69" s="8" t="s">
        <v>223</v>
      </c>
      <c r="C69" s="8" t="s">
        <v>224</v>
      </c>
      <c r="D69" s="8" t="s">
        <v>27</v>
      </c>
      <c r="E69" s="14" t="s">
        <v>19</v>
      </c>
      <c r="F69" s="8" t="s">
        <v>28</v>
      </c>
      <c r="G69" s="8" t="s">
        <v>29</v>
      </c>
      <c r="H69" s="8" t="s">
        <v>225</v>
      </c>
      <c r="I69" s="9" t="s">
        <v>31</v>
      </c>
    </row>
    <row r="70" spans="1:9" ht="48" customHeight="1">
      <c r="A70" s="7" t="s">
        <v>186</v>
      </c>
      <c r="B70" s="8" t="s">
        <v>226</v>
      </c>
      <c r="C70" s="8" t="s">
        <v>227</v>
      </c>
      <c r="D70" s="8" t="s">
        <v>34</v>
      </c>
      <c r="E70" s="14" t="s">
        <v>34</v>
      </c>
      <c r="F70" s="8" t="s">
        <v>28</v>
      </c>
      <c r="G70" s="8" t="s">
        <v>29</v>
      </c>
      <c r="H70" s="8" t="s">
        <v>228</v>
      </c>
      <c r="I70" s="9" t="s">
        <v>31</v>
      </c>
    </row>
    <row r="71" spans="1:9" ht="48" customHeight="1">
      <c r="A71" s="7" t="s">
        <v>186</v>
      </c>
      <c r="B71" s="8" t="s">
        <v>229</v>
      </c>
      <c r="C71" s="8" t="s">
        <v>230</v>
      </c>
      <c r="D71" s="8" t="s">
        <v>231</v>
      </c>
      <c r="E71" s="14" t="s">
        <v>34</v>
      </c>
      <c r="F71" s="8" t="s">
        <v>28</v>
      </c>
      <c r="G71" s="8" t="s">
        <v>29</v>
      </c>
      <c r="H71" s="8" t="s">
        <v>232</v>
      </c>
      <c r="I71" s="9" t="s">
        <v>31</v>
      </c>
    </row>
    <row r="72" spans="1:9" ht="48" customHeight="1">
      <c r="A72" s="7" t="s">
        <v>233</v>
      </c>
      <c r="B72" s="8" t="s">
        <v>234</v>
      </c>
      <c r="C72" s="8" t="s">
        <v>235</v>
      </c>
      <c r="D72" s="8" t="s">
        <v>236</v>
      </c>
      <c r="E72" s="14" t="s">
        <v>19</v>
      </c>
      <c r="F72" s="8" t="s">
        <v>28</v>
      </c>
      <c r="G72" s="8" t="s">
        <v>29</v>
      </c>
      <c r="H72" s="8" t="s">
        <v>237</v>
      </c>
      <c r="I72" s="9" t="s">
        <v>31</v>
      </c>
    </row>
    <row r="73" spans="1:9" ht="48" customHeight="1">
      <c r="A73" s="7" t="s">
        <v>233</v>
      </c>
      <c r="B73" s="8" t="s">
        <v>238</v>
      </c>
      <c r="C73" s="8" t="s">
        <v>239</v>
      </c>
      <c r="D73" s="8" t="s">
        <v>236</v>
      </c>
      <c r="E73" s="14" t="s">
        <v>19</v>
      </c>
      <c r="F73" s="8" t="s">
        <v>28</v>
      </c>
      <c r="G73" s="8" t="s">
        <v>29</v>
      </c>
      <c r="H73" s="8" t="s">
        <v>237</v>
      </c>
      <c r="I73" s="9" t="s">
        <v>31</v>
      </c>
    </row>
    <row r="74" spans="1:9" ht="48" customHeight="1">
      <c r="A74" s="7" t="s">
        <v>233</v>
      </c>
      <c r="B74" s="8" t="s">
        <v>240</v>
      </c>
      <c r="C74" s="8" t="s">
        <v>241</v>
      </c>
      <c r="D74" s="8" t="s">
        <v>27</v>
      </c>
      <c r="E74" s="14" t="s">
        <v>27</v>
      </c>
      <c r="F74" s="8" t="s">
        <v>28</v>
      </c>
      <c r="G74" s="8" t="s">
        <v>29</v>
      </c>
      <c r="H74" s="8" t="s">
        <v>200</v>
      </c>
      <c r="I74" s="9" t="s">
        <v>31</v>
      </c>
    </row>
    <row r="75" spans="1:9" ht="48" customHeight="1">
      <c r="A75" s="7" t="s">
        <v>233</v>
      </c>
      <c r="B75" s="8" t="s">
        <v>242</v>
      </c>
      <c r="C75" s="8" t="s">
        <v>243</v>
      </c>
      <c r="D75" s="8" t="s">
        <v>236</v>
      </c>
      <c r="E75" s="14" t="s">
        <v>19</v>
      </c>
      <c r="F75" s="8" t="s">
        <v>28</v>
      </c>
      <c r="G75" s="8" t="s">
        <v>29</v>
      </c>
      <c r="H75" s="8" t="s">
        <v>237</v>
      </c>
      <c r="I75" s="9" t="s">
        <v>31</v>
      </c>
    </row>
    <row r="76" spans="1:9" ht="48" customHeight="1">
      <c r="A76" s="7" t="s">
        <v>233</v>
      </c>
      <c r="B76" s="8" t="s">
        <v>244</v>
      </c>
      <c r="C76" s="8" t="s">
        <v>245</v>
      </c>
      <c r="D76" s="8" t="s">
        <v>27</v>
      </c>
      <c r="E76" s="14" t="s">
        <v>19</v>
      </c>
      <c r="F76" s="8" t="s">
        <v>28</v>
      </c>
      <c r="G76" s="8" t="s">
        <v>29</v>
      </c>
      <c r="H76" s="8" t="s">
        <v>200</v>
      </c>
      <c r="I76" s="9" t="s">
        <v>31</v>
      </c>
    </row>
    <row r="77" spans="1:9" ht="48" customHeight="1">
      <c r="A77" s="7" t="s">
        <v>233</v>
      </c>
      <c r="B77" s="8" t="s">
        <v>246</v>
      </c>
      <c r="C77" s="8" t="s">
        <v>247</v>
      </c>
      <c r="D77" s="8" t="s">
        <v>27</v>
      </c>
      <c r="E77" s="14" t="s">
        <v>19</v>
      </c>
      <c r="F77" s="8" t="s">
        <v>28</v>
      </c>
      <c r="G77" s="8" t="s">
        <v>29</v>
      </c>
      <c r="H77" s="8" t="s">
        <v>248</v>
      </c>
      <c r="I77" s="9" t="s">
        <v>31</v>
      </c>
    </row>
    <row r="78" spans="1:9" ht="48" customHeight="1">
      <c r="A78" s="7" t="s">
        <v>233</v>
      </c>
      <c r="B78" s="8" t="s">
        <v>249</v>
      </c>
      <c r="C78" s="8" t="s">
        <v>250</v>
      </c>
      <c r="D78" s="8" t="s">
        <v>236</v>
      </c>
      <c r="E78" s="14" t="s">
        <v>19</v>
      </c>
      <c r="F78" s="8" t="s">
        <v>28</v>
      </c>
      <c r="G78" s="8" t="s">
        <v>29</v>
      </c>
      <c r="H78" s="8" t="s">
        <v>251</v>
      </c>
      <c r="I78" s="9" t="s">
        <v>31</v>
      </c>
    </row>
    <row r="79" spans="1:9" ht="48" customHeight="1">
      <c r="A79" s="7" t="s">
        <v>233</v>
      </c>
      <c r="B79" s="8" t="s">
        <v>252</v>
      </c>
      <c r="C79" s="8" t="s">
        <v>253</v>
      </c>
      <c r="D79" s="8" t="s">
        <v>34</v>
      </c>
      <c r="E79" s="14" t="s">
        <v>34</v>
      </c>
      <c r="F79" s="8" t="s">
        <v>254</v>
      </c>
      <c r="G79" s="8" t="s">
        <v>255</v>
      </c>
      <c r="H79" s="8" t="s">
        <v>256</v>
      </c>
      <c r="I79" s="9" t="s">
        <v>31</v>
      </c>
    </row>
    <row r="80" spans="1:9" ht="48" customHeight="1">
      <c r="A80" s="7" t="s">
        <v>233</v>
      </c>
      <c r="B80" s="8" t="s">
        <v>257</v>
      </c>
      <c r="C80" s="8" t="s">
        <v>258</v>
      </c>
      <c r="D80" s="8" t="s">
        <v>12</v>
      </c>
      <c r="E80" s="14" t="s">
        <v>19</v>
      </c>
      <c r="F80" s="8" t="s">
        <v>28</v>
      </c>
      <c r="G80" s="8" t="s">
        <v>29</v>
      </c>
      <c r="H80" s="8" t="s">
        <v>237</v>
      </c>
      <c r="I80" s="9" t="s">
        <v>16</v>
      </c>
    </row>
    <row r="81" spans="1:9" ht="48" customHeight="1">
      <c r="A81" s="7" t="s">
        <v>259</v>
      </c>
      <c r="B81" s="8" t="s">
        <v>260</v>
      </c>
      <c r="C81" s="8" t="s">
        <v>261</v>
      </c>
      <c r="D81" s="8" t="s">
        <v>19</v>
      </c>
      <c r="E81" s="14" t="s">
        <v>19</v>
      </c>
      <c r="F81" s="8" t="s">
        <v>20</v>
      </c>
      <c r="G81" s="8" t="s">
        <v>14</v>
      </c>
      <c r="H81" s="8" t="s">
        <v>262</v>
      </c>
      <c r="I81" s="9" t="s">
        <v>16</v>
      </c>
    </row>
    <row r="82" spans="1:9" ht="48" customHeight="1">
      <c r="A82" s="7" t="s">
        <v>259</v>
      </c>
      <c r="B82" s="8" t="s">
        <v>263</v>
      </c>
      <c r="C82" s="8" t="s">
        <v>264</v>
      </c>
      <c r="D82" s="8" t="s">
        <v>19</v>
      </c>
      <c r="E82" s="14" t="s">
        <v>19</v>
      </c>
      <c r="F82" s="8" t="s">
        <v>13</v>
      </c>
      <c r="G82" s="8" t="s">
        <v>14</v>
      </c>
      <c r="H82" s="8" t="s">
        <v>265</v>
      </c>
      <c r="I82" s="9" t="s">
        <v>16</v>
      </c>
    </row>
    <row r="83" spans="1:9" ht="48" customHeight="1">
      <c r="A83" s="7" t="s">
        <v>259</v>
      </c>
      <c r="B83" s="8" t="s">
        <v>266</v>
      </c>
      <c r="C83" s="8" t="s">
        <v>267</v>
      </c>
      <c r="D83" s="8" t="s">
        <v>19</v>
      </c>
      <c r="E83" s="14" t="s">
        <v>19</v>
      </c>
      <c r="F83" s="8" t="s">
        <v>20</v>
      </c>
      <c r="G83" s="8" t="s">
        <v>14</v>
      </c>
      <c r="H83" s="8" t="s">
        <v>268</v>
      </c>
      <c r="I83" s="9" t="s">
        <v>16</v>
      </c>
    </row>
    <row r="84" spans="1:9" ht="48" customHeight="1">
      <c r="A84" s="7" t="s">
        <v>259</v>
      </c>
      <c r="B84" s="8" t="s">
        <v>269</v>
      </c>
      <c r="C84" s="8" t="s">
        <v>270</v>
      </c>
      <c r="D84" s="8" t="s">
        <v>19</v>
      </c>
      <c r="E84" s="14" t="s">
        <v>19</v>
      </c>
      <c r="F84" s="8" t="s">
        <v>13</v>
      </c>
      <c r="G84" s="8" t="s">
        <v>14</v>
      </c>
      <c r="H84" s="8" t="s">
        <v>271</v>
      </c>
      <c r="I84" s="9" t="s">
        <v>16</v>
      </c>
    </row>
    <row r="85" spans="1:9" ht="48" customHeight="1">
      <c r="A85" s="7" t="s">
        <v>259</v>
      </c>
      <c r="B85" s="8" t="s">
        <v>272</v>
      </c>
      <c r="C85" s="8" t="s">
        <v>273</v>
      </c>
      <c r="D85" s="8" t="s">
        <v>274</v>
      </c>
      <c r="E85" s="14" t="s">
        <v>19</v>
      </c>
      <c r="F85" s="8" t="s">
        <v>28</v>
      </c>
      <c r="G85" s="8" t="s">
        <v>29</v>
      </c>
      <c r="H85" s="8" t="s">
        <v>275</v>
      </c>
      <c r="I85" s="9" t="s">
        <v>31</v>
      </c>
    </row>
    <row r="86" spans="1:9" ht="48" customHeight="1">
      <c r="A86" s="7" t="s">
        <v>259</v>
      </c>
      <c r="B86" s="8" t="s">
        <v>276</v>
      </c>
      <c r="C86" s="8" t="s">
        <v>277</v>
      </c>
      <c r="D86" s="8" t="s">
        <v>274</v>
      </c>
      <c r="E86" s="14" t="s">
        <v>19</v>
      </c>
      <c r="F86" s="8" t="s">
        <v>28</v>
      </c>
      <c r="G86" s="8" t="s">
        <v>29</v>
      </c>
      <c r="H86" s="8" t="s">
        <v>275</v>
      </c>
      <c r="I86" s="9" t="s">
        <v>31</v>
      </c>
    </row>
    <row r="87" spans="1:9" ht="48" customHeight="1">
      <c r="A87" s="7" t="s">
        <v>259</v>
      </c>
      <c r="B87" s="8" t="s">
        <v>278</v>
      </c>
      <c r="C87" s="8" t="s">
        <v>279</v>
      </c>
      <c r="D87" s="8" t="s">
        <v>19</v>
      </c>
      <c r="E87" s="14" t="s">
        <v>19</v>
      </c>
      <c r="F87" s="8" t="s">
        <v>13</v>
      </c>
      <c r="G87" s="8" t="s">
        <v>14</v>
      </c>
      <c r="H87" s="8" t="s">
        <v>280</v>
      </c>
      <c r="I87" s="9" t="s">
        <v>16</v>
      </c>
    </row>
    <row r="88" spans="1:9" ht="48" customHeight="1">
      <c r="A88" s="7" t="s">
        <v>259</v>
      </c>
      <c r="B88" s="8" t="s">
        <v>281</v>
      </c>
      <c r="C88" s="8" t="s">
        <v>282</v>
      </c>
      <c r="D88" s="8" t="s">
        <v>19</v>
      </c>
      <c r="E88" s="14" t="s">
        <v>19</v>
      </c>
      <c r="F88" s="8" t="s">
        <v>13</v>
      </c>
      <c r="G88" s="8" t="s">
        <v>14</v>
      </c>
      <c r="H88" s="8" t="s">
        <v>283</v>
      </c>
      <c r="I88" s="9" t="s">
        <v>16</v>
      </c>
    </row>
    <row r="89" spans="1:9" ht="48" customHeight="1">
      <c r="A89" s="7" t="s">
        <v>259</v>
      </c>
      <c r="B89" s="8" t="s">
        <v>284</v>
      </c>
      <c r="C89" s="8" t="s">
        <v>285</v>
      </c>
      <c r="D89" s="8" t="s">
        <v>12</v>
      </c>
      <c r="E89" s="14" t="s">
        <v>12</v>
      </c>
      <c r="F89" s="8" t="s">
        <v>13</v>
      </c>
      <c r="G89" s="8" t="s">
        <v>14</v>
      </c>
      <c r="H89" s="8" t="s">
        <v>286</v>
      </c>
      <c r="I89" s="9" t="s">
        <v>16</v>
      </c>
    </row>
    <row r="90" spans="1:9" ht="48" customHeight="1">
      <c r="A90" s="7" t="s">
        <v>259</v>
      </c>
      <c r="B90" s="8" t="s">
        <v>287</v>
      </c>
      <c r="C90" s="8" t="s">
        <v>288</v>
      </c>
      <c r="D90" s="8" t="s">
        <v>34</v>
      </c>
      <c r="E90" s="14" t="s">
        <v>34</v>
      </c>
      <c r="F90" s="8" t="s">
        <v>28</v>
      </c>
      <c r="G90" s="8" t="s">
        <v>29</v>
      </c>
      <c r="H90" s="8" t="s">
        <v>289</v>
      </c>
      <c r="I90" s="9" t="s">
        <v>31</v>
      </c>
    </row>
    <row r="91" spans="1:9" ht="48" customHeight="1">
      <c r="A91" s="7" t="s">
        <v>259</v>
      </c>
      <c r="B91" s="8" t="s">
        <v>290</v>
      </c>
      <c r="C91" s="8" t="s">
        <v>291</v>
      </c>
      <c r="D91" s="8" t="s">
        <v>19</v>
      </c>
      <c r="E91" s="14" t="s">
        <v>19</v>
      </c>
      <c r="F91" s="8" t="s">
        <v>13</v>
      </c>
      <c r="G91" s="8" t="s">
        <v>14</v>
      </c>
      <c r="H91" s="8" t="s">
        <v>292</v>
      </c>
      <c r="I91" s="9" t="s">
        <v>16</v>
      </c>
    </row>
    <row r="92" spans="1:9" ht="48" customHeight="1">
      <c r="A92" s="7" t="s">
        <v>259</v>
      </c>
      <c r="B92" s="8" t="s">
        <v>293</v>
      </c>
      <c r="C92" s="8" t="s">
        <v>294</v>
      </c>
      <c r="D92" s="8" t="s">
        <v>12</v>
      </c>
      <c r="E92" s="14" t="s">
        <v>12</v>
      </c>
      <c r="F92" s="8" t="s">
        <v>13</v>
      </c>
      <c r="G92" s="8" t="s">
        <v>14</v>
      </c>
      <c r="H92" s="8" t="s">
        <v>295</v>
      </c>
      <c r="I92" s="9" t="s">
        <v>16</v>
      </c>
    </row>
    <row r="93" spans="1:9" ht="48" customHeight="1">
      <c r="A93" s="7" t="s">
        <v>259</v>
      </c>
      <c r="B93" s="8" t="s">
        <v>296</v>
      </c>
      <c r="C93" s="8" t="s">
        <v>297</v>
      </c>
      <c r="D93" s="8" t="s">
        <v>298</v>
      </c>
      <c r="E93" s="14" t="s">
        <v>346</v>
      </c>
      <c r="F93" s="8" t="s">
        <v>254</v>
      </c>
      <c r="G93" s="8" t="s">
        <v>255</v>
      </c>
      <c r="H93" s="8" t="s">
        <v>299</v>
      </c>
      <c r="I93" s="9" t="s">
        <v>31</v>
      </c>
    </row>
    <row r="94" spans="1:9" ht="48" customHeight="1">
      <c r="A94" s="7" t="s">
        <v>300</v>
      </c>
      <c r="B94" s="8" t="s">
        <v>301</v>
      </c>
      <c r="C94" s="8" t="s">
        <v>302</v>
      </c>
      <c r="D94" s="8" t="s">
        <v>19</v>
      </c>
      <c r="E94" s="14" t="s">
        <v>19</v>
      </c>
      <c r="F94" s="8" t="s">
        <v>20</v>
      </c>
      <c r="G94" s="8" t="s">
        <v>14</v>
      </c>
      <c r="H94" s="8" t="s">
        <v>303</v>
      </c>
      <c r="I94" s="9" t="s">
        <v>16</v>
      </c>
    </row>
    <row r="95" spans="1:9" ht="48" customHeight="1">
      <c r="A95" s="7" t="s">
        <v>300</v>
      </c>
      <c r="B95" s="8" t="s">
        <v>304</v>
      </c>
      <c r="C95" s="8" t="s">
        <v>305</v>
      </c>
      <c r="D95" s="8" t="s">
        <v>19</v>
      </c>
      <c r="E95" s="14" t="s">
        <v>19</v>
      </c>
      <c r="F95" s="8" t="s">
        <v>20</v>
      </c>
      <c r="G95" s="8" t="s">
        <v>14</v>
      </c>
      <c r="H95" s="8" t="s">
        <v>306</v>
      </c>
      <c r="I95" s="9" t="s">
        <v>16</v>
      </c>
    </row>
    <row r="96" spans="1:9" ht="48" customHeight="1">
      <c r="A96" s="7" t="s">
        <v>300</v>
      </c>
      <c r="B96" s="8" t="s">
        <v>307</v>
      </c>
      <c r="C96" s="8" t="s">
        <v>308</v>
      </c>
      <c r="D96" s="8" t="s">
        <v>19</v>
      </c>
      <c r="E96" s="14" t="s">
        <v>19</v>
      </c>
      <c r="F96" s="8" t="s">
        <v>20</v>
      </c>
      <c r="G96" s="8" t="s">
        <v>14</v>
      </c>
      <c r="H96" s="8" t="s">
        <v>69</v>
      </c>
      <c r="I96" s="9" t="s">
        <v>16</v>
      </c>
    </row>
    <row r="97" spans="1:9" ht="48" customHeight="1">
      <c r="A97" s="7" t="s">
        <v>300</v>
      </c>
      <c r="B97" s="8" t="s">
        <v>309</v>
      </c>
      <c r="C97" s="8" t="s">
        <v>310</v>
      </c>
      <c r="D97" s="8" t="s">
        <v>34</v>
      </c>
      <c r="E97" s="14" t="s">
        <v>34</v>
      </c>
      <c r="F97" s="8" t="s">
        <v>28</v>
      </c>
      <c r="G97" s="8" t="s">
        <v>29</v>
      </c>
      <c r="H97" s="8" t="s">
        <v>311</v>
      </c>
      <c r="I97" s="9" t="s">
        <v>31</v>
      </c>
    </row>
    <row r="98" spans="1:9" ht="48" customHeight="1">
      <c r="A98" s="7" t="s">
        <v>300</v>
      </c>
      <c r="B98" s="8" t="s">
        <v>312</v>
      </c>
      <c r="C98" s="8" t="s">
        <v>313</v>
      </c>
      <c r="D98" s="8" t="s">
        <v>314</v>
      </c>
      <c r="E98" s="14" t="s">
        <v>19</v>
      </c>
      <c r="F98" s="8" t="s">
        <v>28</v>
      </c>
      <c r="G98" s="8" t="s">
        <v>29</v>
      </c>
      <c r="H98" s="8" t="s">
        <v>315</v>
      </c>
      <c r="I98" s="9" t="s">
        <v>31</v>
      </c>
    </row>
    <row r="99" spans="1:9" ht="48" customHeight="1">
      <c r="A99" s="7" t="s">
        <v>300</v>
      </c>
      <c r="B99" s="8" t="s">
        <v>316</v>
      </c>
      <c r="C99" s="8" t="s">
        <v>317</v>
      </c>
      <c r="D99" s="8" t="s">
        <v>19</v>
      </c>
      <c r="E99" s="14" t="s">
        <v>19</v>
      </c>
      <c r="F99" s="8" t="s">
        <v>13</v>
      </c>
      <c r="G99" s="8" t="s">
        <v>14</v>
      </c>
      <c r="H99" s="8" t="s">
        <v>318</v>
      </c>
      <c r="I99" s="9" t="s">
        <v>16</v>
      </c>
    </row>
    <row r="100" spans="1:9" ht="48" customHeight="1">
      <c r="A100" s="7" t="s">
        <v>300</v>
      </c>
      <c r="B100" s="8" t="s">
        <v>319</v>
      </c>
      <c r="C100" s="8" t="s">
        <v>320</v>
      </c>
      <c r="D100" s="8" t="s">
        <v>12</v>
      </c>
      <c r="E100" s="14" t="s">
        <v>34</v>
      </c>
      <c r="F100" s="8" t="s">
        <v>13</v>
      </c>
      <c r="G100" s="8" t="s">
        <v>14</v>
      </c>
      <c r="H100" s="8" t="s">
        <v>321</v>
      </c>
      <c r="I100" s="9" t="s">
        <v>16</v>
      </c>
    </row>
    <row r="101" spans="1:9" ht="48" customHeight="1">
      <c r="A101" s="7" t="s">
        <v>300</v>
      </c>
      <c r="B101" s="8" t="s">
        <v>322</v>
      </c>
      <c r="C101" s="8" t="s">
        <v>323</v>
      </c>
      <c r="D101" s="8" t="s">
        <v>19</v>
      </c>
      <c r="E101" s="14" t="s">
        <v>346</v>
      </c>
      <c r="F101" s="8" t="s">
        <v>13</v>
      </c>
      <c r="G101" s="8" t="s">
        <v>14</v>
      </c>
      <c r="H101" s="8" t="s">
        <v>324</v>
      </c>
      <c r="I101" s="9" t="s">
        <v>16</v>
      </c>
    </row>
    <row r="102" spans="1:9" ht="48" customHeight="1">
      <c r="A102" s="7" t="s">
        <v>300</v>
      </c>
      <c r="B102" s="8" t="s">
        <v>325</v>
      </c>
      <c r="C102" s="8" t="s">
        <v>326</v>
      </c>
      <c r="D102" s="8" t="s">
        <v>19</v>
      </c>
      <c r="E102" s="14" t="s">
        <v>19</v>
      </c>
      <c r="F102" s="8" t="s">
        <v>13</v>
      </c>
      <c r="G102" s="8" t="s">
        <v>14</v>
      </c>
      <c r="H102" s="8" t="s">
        <v>327</v>
      </c>
      <c r="I102" s="9" t="s">
        <v>16</v>
      </c>
    </row>
    <row r="103" spans="1:9" ht="48" customHeight="1">
      <c r="A103" s="7" t="s">
        <v>300</v>
      </c>
      <c r="B103" s="8" t="s">
        <v>328</v>
      </c>
      <c r="C103" s="8" t="s">
        <v>329</v>
      </c>
      <c r="D103" s="8" t="s">
        <v>12</v>
      </c>
      <c r="E103" s="14" t="s">
        <v>19</v>
      </c>
      <c r="F103" s="8" t="s">
        <v>28</v>
      </c>
      <c r="G103" s="8" t="s">
        <v>29</v>
      </c>
      <c r="H103" s="8" t="s">
        <v>330</v>
      </c>
      <c r="I103" s="9" t="s">
        <v>16</v>
      </c>
    </row>
    <row r="104" spans="1:9" ht="48" customHeight="1">
      <c r="A104" s="7" t="s">
        <v>300</v>
      </c>
      <c r="B104" s="8" t="s">
        <v>331</v>
      </c>
      <c r="C104" s="8" t="s">
        <v>332</v>
      </c>
      <c r="D104" s="8" t="s">
        <v>34</v>
      </c>
      <c r="E104" s="14" t="s">
        <v>34</v>
      </c>
      <c r="F104" s="8" t="s">
        <v>254</v>
      </c>
      <c r="G104" s="8" t="s">
        <v>255</v>
      </c>
      <c r="H104" s="8" t="s">
        <v>333</v>
      </c>
      <c r="I104" s="9" t="s">
        <v>31</v>
      </c>
    </row>
    <row r="105" spans="1:9" ht="48" customHeight="1">
      <c r="A105" s="10" t="s">
        <v>300</v>
      </c>
      <c r="B105" s="11" t="s">
        <v>334</v>
      </c>
      <c r="C105" s="11" t="s">
        <v>335</v>
      </c>
      <c r="D105" s="11" t="s">
        <v>336</v>
      </c>
      <c r="E105" s="15" t="s">
        <v>19</v>
      </c>
      <c r="F105" s="11" t="s">
        <v>254</v>
      </c>
      <c r="G105" s="11" t="s">
        <v>255</v>
      </c>
      <c r="H105" s="11" t="s">
        <v>337</v>
      </c>
      <c r="I105" s="12" t="s">
        <v>31</v>
      </c>
    </row>
  </sheetData>
  <phoneticPr fontId="5" type="noConversion"/>
  <dataValidations count="1">
    <dataValidation type="list" sqref="E2:E105" xr:uid="{00000000-0002-0000-0000-000000000000}">
      <formula1>"要,不要,简单版,后面再说,可选,看是否常用,看是否多仓,看行业是否需要,看是否有外协,看管理要求,后面重点做,大概率不要,不建议做"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workbookViewId="0">
      <selection sqref="A1:H1"/>
    </sheetView>
  </sheetViews>
  <sheetFormatPr baseColWidth="10" defaultColWidth="8.83203125" defaultRowHeight="14"/>
  <cols>
    <col min="1" max="1" width="18" customWidth="1"/>
    <col min="2" max="2" width="76" customWidth="1"/>
  </cols>
  <sheetData>
    <row r="1" spans="1:8" ht="21">
      <c r="A1" s="21" t="s">
        <v>338</v>
      </c>
      <c r="B1" s="22"/>
      <c r="C1" s="22"/>
      <c r="D1" s="22"/>
      <c r="E1" s="22"/>
      <c r="F1" s="22"/>
      <c r="G1" s="22"/>
      <c r="H1" s="22"/>
    </row>
    <row r="3" spans="1:8" ht="34" customHeight="1">
      <c r="A3" s="16" t="s">
        <v>339</v>
      </c>
      <c r="B3" s="6" t="s">
        <v>340</v>
      </c>
    </row>
    <row r="4" spans="1:8" ht="34" customHeight="1">
      <c r="A4" s="17" t="s">
        <v>341</v>
      </c>
      <c r="B4" s="9" t="s">
        <v>342</v>
      </c>
    </row>
    <row r="5" spans="1:8" ht="34" customHeight="1">
      <c r="A5" s="17" t="s">
        <v>19</v>
      </c>
      <c r="B5" s="9" t="s">
        <v>343</v>
      </c>
    </row>
    <row r="6" spans="1:8" ht="34" customHeight="1">
      <c r="A6" s="17" t="s">
        <v>12</v>
      </c>
      <c r="B6" s="9" t="s">
        <v>344</v>
      </c>
    </row>
    <row r="7" spans="1:8" ht="34" customHeight="1">
      <c r="A7" s="17" t="s">
        <v>34</v>
      </c>
      <c r="B7" s="9" t="s">
        <v>345</v>
      </c>
    </row>
    <row r="8" spans="1:8" ht="34" customHeight="1">
      <c r="A8" s="17" t="s">
        <v>346</v>
      </c>
      <c r="B8" s="9" t="s">
        <v>347</v>
      </c>
    </row>
    <row r="9" spans="1:8" ht="34" customHeight="1">
      <c r="A9" s="18" t="s">
        <v>348</v>
      </c>
      <c r="B9" s="12" t="s">
        <v>349</v>
      </c>
    </row>
  </sheetData>
  <mergeCells count="1">
    <mergeCell ref="A1:H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selection sqref="A1:E1"/>
    </sheetView>
  </sheetViews>
  <sheetFormatPr baseColWidth="10" defaultColWidth="8.83203125" defaultRowHeight="14"/>
  <cols>
    <col min="1" max="1" width="22" customWidth="1"/>
    <col min="2" max="2" width="14" customWidth="1"/>
  </cols>
  <sheetData>
    <row r="1" spans="1:5" ht="21">
      <c r="A1" s="21" t="s">
        <v>350</v>
      </c>
      <c r="B1" s="22"/>
      <c r="C1" s="22"/>
      <c r="D1" s="22"/>
      <c r="E1" s="22"/>
    </row>
    <row r="3" spans="1:5" ht="15">
      <c r="A3" s="19" t="s">
        <v>351</v>
      </c>
      <c r="B3" s="19" t="s">
        <v>352</v>
      </c>
    </row>
    <row r="4" spans="1:5">
      <c r="A4" s="20" t="s">
        <v>19</v>
      </c>
      <c r="B4" s="20">
        <f>COUNTIF(功能审批!$E$2:$E$105,A4)</f>
        <v>68</v>
      </c>
    </row>
    <row r="5" spans="1:5">
      <c r="A5" s="20" t="s">
        <v>12</v>
      </c>
      <c r="B5" s="20">
        <f>COUNTIF(功能审批!$E$2:$E$105,A5)</f>
        <v>5</v>
      </c>
    </row>
    <row r="6" spans="1:5">
      <c r="A6" s="20" t="s">
        <v>34</v>
      </c>
      <c r="B6" s="20">
        <f>COUNTIF(功能审批!$E$2:$E$105,A6)</f>
        <v>16</v>
      </c>
    </row>
    <row r="7" spans="1:5">
      <c r="A7" s="20" t="s">
        <v>346</v>
      </c>
      <c r="B7" s="20">
        <f>COUNTIF(功能审批!$E$2:$E$105,A7)</f>
        <v>11</v>
      </c>
    </row>
    <row r="8" spans="1:5">
      <c r="A8" s="20" t="s">
        <v>353</v>
      </c>
      <c r="B8" s="20">
        <f>COUNTA(功能审批!$E$2:$E$105)-SUM(B4:B7)</f>
        <v>4</v>
      </c>
    </row>
    <row r="9" spans="1:5">
      <c r="A9" s="20" t="s">
        <v>354</v>
      </c>
      <c r="B9" s="20">
        <f>COUNTBLANK(功能审批!$E$2:$E$105)</f>
        <v>0</v>
      </c>
    </row>
    <row r="10" spans="1:5">
      <c r="A10" s="20" t="s">
        <v>355</v>
      </c>
      <c r="B10" s="20">
        <f>104</f>
        <v>104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功能审批</vt:lpstr>
      <vt:lpstr>填写说明</vt:lpstr>
      <vt:lpstr>审批汇总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林振岳</cp:lastModifiedBy>
  <dcterms:modified xsi:type="dcterms:W3CDTF">2026-06-23T05:46:21Z</dcterms:modified>
</cp:coreProperties>
</file>